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o de reservas" sheetId="1" r:id="rId5"/>
    <sheet state="visible" name=" Reservas" sheetId="2" r:id="rId6"/>
    <sheet state="visible" name=" Consulta" sheetId="3" r:id="rId7"/>
    <sheet state="visible" name="Lista de espera Via I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E24">
      <text>
        <t xml:space="preserve">14/10
viene con hab. 7
In: 8/1/27 Out: 11/1/27
Tarifa x d: $ 235.000.- $ 270.000.-
Total x 3 d: $ 740.000.-
Abonó total de hab. con hab 7
Abona diferencia x cena buffet</t>
      </text>
    </comment>
    <comment authorId="0" ref="AV12">
      <text>
        <t xml:space="preserve">26/9
Viene con hab. 2 Marini
Depto. Hotelero x 4 - 1° piso y 2 baños
In: 30/12/26 Out: 11/1/27
Tarifa x d: $ 355.000.- $ 408.000.-
Total x 12 d: $ 4.313.000.-
Seña a Luli: $ 3.000.000.-.3/10/26
Tel: 011 1561845590
Correo: titania713@hotmail.com</t>
      </text>
    </comment>
    <comment authorId="0" ref="BT36">
      <text>
        <t xml:space="preserve">21/9
Hab. Triple + cuna chica
In: 23/1/27 Out: 28/1/27
Tarifa x d: $ 338.000.-
Total x 5 d: $ 1.690.000.-
Seña: $ 169.000.- 23/9/26
Tel: 02964 15621770
Correo: alejandrocanals13@gmail.com</t>
      </text>
    </comment>
    <comment authorId="0" ref="CN23">
      <text>
        <t xml:space="preserve">2/10 - pre reserva
Hab. Single
no mover
In: 12/2/27 Out: 25/2/27
Tarifa x d: $ 170.000.- $ 149.000.-
Total x 13 d: $ 2.000.000.-
Seña a Luli: $ 600.000.-
Tel: 011 1569418130
Correo: rraulrossini@gmail.com</t>
      </text>
    </comment>
    <comment authorId="0" ref="CC11">
      <text>
        <t xml:space="preserve">7/10
Hab. Doble Twin -. planta baja
In: 1/2/27 Out: 6/2/27
Tarifa x d: $ 270.000.-
Total x 5 d: $ 1.350.000.-
Seña: $ 135.000.- 8/10/26
Tel: 02342457027
Correo: nelisenga-7@hotmail.com</t>
      </text>
    </comment>
    <comment authorId="0" ref="DJ43">
      <text>
        <t xml:space="preserve">26/10
Depto. La Esquinita x 2
In: 6/3/27 Out: 21/3/27
Tarifa x quincena: $ 2.205.000.-
Seña: $ 220.500.- 27/10/26
Tel: 011 15 69091866
Correo: hlewin51@live.com.ar</t>
      </text>
    </comment>
    <comment authorId="0" ref="CC40">
      <text>
        <t xml:space="preserve">14/10
Depto. x 4
In: 1/2/27 Out: 8/2/27
Tarifa x semana: $ 1.260.000.-
Seña con link: $ 126.000.-
Tel: 03413 15035664
Correo: marianasotelovalenzuela@gmail.com</t>
      </text>
    </comment>
    <comment authorId="0" ref="AX41">
      <text>
        <t xml:space="preserve">23/9
Depto. El Tilo
In: 1/1/27 Out: 1/2/27
Tarifa x mes: $ 4.788.900.-
Seña: $ 2.394.450.- 6/10/26
Tel: 011 1569078768
Correo: dantemereles@yahoo.com.ar</t>
      </text>
    </comment>
    <comment authorId="0" ref="CW27">
      <text>
        <t xml:space="preserve">22/9
Hab. mat
In: 21/2/27 Out: 1/3/27
Tarifa x d: $ 235.000.-
Total x 8 d: $ 1.880.000.-
Seña: $ 165.000.- 22/9/26
Tel: 011 1540946543
Correo: carlossegreti@hotmail.com</t>
      </text>
    </comment>
    <comment authorId="0" ref="AY8">
      <text>
        <t xml:space="preserve">23/9
Hab. mat - planta baja
In: 2/1/27 Out: 9/1/27
Tarifa x d: $ 235.000.-
Total x 7 d: $ 1.645.000.-
Seña: $ 164.500.- 24/9/26
Tel: 011 15 51652529
Correo: graciela_castiglione@yahoo.com.ar</t>
      </text>
    </comment>
    <comment authorId="0" ref="BF8">
      <text>
        <t xml:space="preserve">21/9
Hab. mat - no mover
In: 9/1/27 Out: 18/1/27
Tarifa x d: $ 235.000.- $ 270.000.-
Total x 9 d: $ 2.395.000.-
Abona seña a Lu en USD 700 ($ 1.075.620.-) 5/10/26
Tel: 011 1541411008
Correo: josepodestamail@gmail.com</t>
      </text>
    </comment>
    <comment authorId="0" ref="AU29">
      <text>
        <t xml:space="preserve">14/10
Confirma reserva principio de diciembre
Hab. mat CON BALCÓN
In: 29/12/26 Out: 14/1/27
Tarifa x d: $ 235.000.- $ 270.000.-
Tarifa total por 16 d: $ 3.900.000.-
Tel: 011 15 22683007
Correo: gbaruzzi@gmail.com</t>
      </text>
    </comment>
    <comment authorId="0" ref="AO21">
      <text>
        <t xml:space="preserve">Viene con hab. 25</t>
      </text>
    </comment>
    <comment authorId="0" ref="CF32">
      <text>
        <t xml:space="preserve">28/9
Hab. Doble Twin con balcón
In: 4/2/27 Out: 14/2/27
Tarifa x d: $ 270.000.-
Total x 10 d: $ 2.700.000.-
Seña: $ 500.000.- 28/9 /26
Tel: 0341 15 3400771
Correo: murciann@hotmail.com</t>
      </text>
    </comment>
    <comment authorId="0" ref="BB33">
      <text>
        <t xml:space="preserve">3/10
Hab. Doble - dos camas
In: 5/1/27 Out: 10/1/27
Tarifa x d: $ 235.000.-
Total x 5 d: $ 1.175.000.-
Seña: $ 117.500.- 5/10/26
Tel: 03416 15542312
Correo: ro.ro.zas23@gmail.com</t>
      </text>
    </comment>
    <comment authorId="0" ref="CA24">
      <text>
        <t xml:space="preserve">09/10
Hab. Doble
In: 30/1/27 Out: 4/2/27
Tarifa x d: $ 270.000.-
Total x 5 d: $ 1.350.000.-
Seña: $ 135.000.- 9/10/26
Tel: 011 15 50942005
Correo: romi.anna@hotmail.com</t>
      </text>
    </comment>
    <comment authorId="0" ref="AV25">
      <text>
        <t xml:space="preserve">5/10
Booking
Hab. Doble twin con balcón
In: 30/12/26 Out: 6/1/27
Tarifa x d: $ 235.000.-
Total x 7 d: $ 1.645.000.-
-dest. GENIUS del 13%: $ 1.431.150.-
Tel: 011 15 53877880
Correo:</t>
      </text>
    </comment>
    <comment authorId="0" ref="CQ32">
      <text>
        <t xml:space="preserve">15/10
Hab. twin con balcón
In: 15/2/27 Out: 22/2/27
Tarifa x d: $ 235.000.-
Total x 7 d: $ 1.645.000.-
Seña: $ 164.500.- 16/10/26
viene con La Esquinita</t>
      </text>
    </comment>
    <comment authorId="0" ref="CN28">
      <text>
        <t xml:space="preserve">15/10
Hab. Single
Poner tacos en respaldo
In: 12/2/27 Out: 1/3/27
Tarifa x d: $ 170.000.- $ 149.000.-
Total x 17 d: $ 2.596.000.-
Seña a Luli: $ 250.000.- 20/10/26</t>
      </text>
    </comment>
    <comment authorId="0" ref="BH25">
      <text>
        <t xml:space="preserve">2/10
Booking
Hab. mat
In: 11/1/27 Out: 18/1/27
Tarifa x d: $ 270.000.-
Total x 7 d: $ 1.890.000.-
Descuento GENIUS del 12 %: $ 1.663.200.-
Tel: 011 15 53378071
Correo:
</t>
      </text>
    </comment>
    <comment authorId="0" ref="BT37">
      <text>
        <t xml:space="preserve">21/9
Hab. Mat
In: 23/1/27 Out: 28/1/27
Tarifa x d: $ 270.000.-
Tarifa total por 5 d: $ 1.350.000.-
Seña: $ 135.000.- 23/9/26
Viene con hab. 33 -
 Hicieron seña juntos </t>
      </text>
    </comment>
    <comment authorId="0" ref="BE21">
      <text>
        <t xml:space="preserve">20/10
Viene con hab. 7 - 10 y 21
Hab. Triple
In: 8/1/27 Out: 13/1/27
Tarifa x d: $ 294.000.- $ 349.000.-
Total x 5 d: $ 1.635.000.-
Abonó total con hab. 7</t>
      </text>
    </comment>
    <comment authorId="0" ref="AT9">
      <text>
        <t xml:space="preserve">3/10
Depto. Hotelero x 4 -  no mover
In: 28/12/26 Out: 10/1/27
Tarifa x d: $ 355.000.-
Total x 13 d: $ 4.615.000.-
Seña: $ 461.500.- 8/10/26
Tel: 02645 15010186
Correo: belenalbar@yahoo.com.ar</t>
      </text>
    </comment>
    <comment authorId="0" ref="CC12">
      <text>
        <t xml:space="preserve">21/10
Booking
Depto. x 4 camas
In: 01/02/2027 Out: 08/02/2025
Tarifa x d: $ 421.000.-
Tarifa total por 7 d: $ 2.947.000.-
Tarifa final con descuento GENIUS del 11 %: $ 2.641.000.- (21/10)
Tel: 011 15 57009688
Correo:</t>
      </text>
    </comment>
    <comment authorId="0" ref="CC41">
      <text>
        <t xml:space="preserve">17/9
Depto. x 4  - El Tilo
In: 1/2/27 Out: 8/2/27
Tarifa x semana: $ 1.260.000.- 
Seña: $ 126.000.- 30/9/26 con Visa link de pago
Tel: 03413 15035664
Correo: marianasotelovalenzuela@gmail.com</t>
      </text>
    </comment>
    <comment authorId="0" ref="AU38">
      <text>
        <t xml:space="preserve">29/9 pre-reserva
Depto. hotelero x 4
dos camas mat
In: 29/12/26 Out: 6/1/27
Tarifa x d: $ 355.000.-
Tarifa total x 8 d: $ 2.840.000.-
Seña: $ 284.000.-
Tel: 02604 15557121
correo: agarciaromin@gmail.com</t>
      </text>
    </comment>
    <comment authorId="0" ref="AR34">
      <text>
        <t xml:space="preserve">21/9
Hab. Single - no mover
Solo desayuno
In: 26/12/26 Out: 12/1/27
Tarifa x d: $ 109.000.- $ 120.000.- $ 141.000.-
Tarifa total por 17 d: $ 2.071.000.-
Seña: $ 200.000.- 10/10/26
Tel: 011 15 36966565
Correo: teromauri@gmail.com</t>
      </text>
    </comment>
    <comment authorId="0" ref="CQ16">
      <text>
        <t xml:space="preserve">19/10
Hab. Doble - no mover
In: 15/2/27 Out: 27/2/27
Tarifa x d: $ 235.000.-
Total x 12 d: $ 2.820.000.-
Seña: $ 282.000.- 19/10/26
Tel:
Correo: panchi9564@gmail.com</t>
      </text>
    </comment>
    <comment authorId="0" ref="BC38">
      <text>
        <t xml:space="preserve">Viene de hab. 18
no mover
pre reserva
Depto. x 4
In: 4/1/27 Out: 19/1/27
Tarifa x d: $ 355.000.- $ 408.000.-
Tarifa total por 15 d: $ </t>
      </text>
    </comment>
    <comment authorId="0" ref="AO22">
      <text>
        <t xml:space="preserve">Viene con hab. 25</t>
      </text>
    </comment>
    <comment authorId="0" ref="AY30">
      <text>
        <t xml:space="preserve">2/10
Hab. Single
In: 2/1/27 Out: 9/1/27
Tarifa x d: $ 149.000.-
Total x 7 d: $ 1.043.000.-
Seña a Luli: $ 700.000.- 17/10/26
Tel:
Correo: iudrizard@gmail.com
Viene con Traficante</t>
      </text>
    </comment>
    <comment authorId="0" ref="CC21">
      <text>
        <t xml:space="preserve">24/10
Depto. Hotelero x 3 camas
no mover
In: 1/2/27 Out: 8/2/27 x la tarde
Tarifa x d: $ 338.000.-
Late check out: $ 147.500.-
Total x 7 d + late check out: $ 2.513.500.-
Abona con mastercard en 6 cuotas: $ 
Tel: 03413 15059092
Correo: silvina29@msn.com
</t>
      </text>
    </comment>
    <comment authorId="0" ref="BF30">
      <text>
        <t xml:space="preserve">28/9
Hab. Single
no mover
In: 9/1/27 Out: 18/1/27
Tarifa x d: $ 149.000.- $ 170.000.-
Total x 9 d: $ 1.509.000.-
Seña a Lu: $ 680.000.- 5/10/26
Tel: 011 15 55075241
Correo: podestacecilia@hotmail.com</t>
      </text>
    </comment>
    <comment authorId="0" ref="BA22">
      <text>
        <t xml:space="preserve">pre reserva
hijo de lipschitz x 4
pasa a 35 y 36</t>
      </text>
    </comment>
    <comment authorId="0" ref="BN34">
      <text>
        <t xml:space="preserve">21/10
Hab. Single
In: 17/1/27 Out:; 22/1/27
Tarifa x d: $ 176.000.-
Total x 5 d: $ 880.000.-
Seña: $ 88.000.-
Tel:
Correo: fatimadepaulapires@gmail.com</t>
      </text>
    </comment>
    <comment authorId="0" ref="AI35">
      <text>
        <t xml:space="preserve">20/10
Hab. Single
In: 17/12/26 Out: 20/12/26
Tarifa x d: $ 82.000.-
Total x 3 d: $ 246.000.-
Seña: $ 24.600.- 21/10/26
Tel: 011 15 56920595
Correo: marianabonilauri@gmail.com</t>
      </text>
    </comment>
    <comment authorId="0" ref="AS10">
      <text>
        <t xml:space="preserve">28/9
Depto. x 4 - planta baja
In: 27/12/26 Out: 1/1/27
Tarifa x d: $ 355.000.-
Total x 5 d: $ 1.775.000.-
Seña: $ 177.500.- 30/9/26
Tel: 0223 155333608
Correo: sagoc2009@hotmail.com
</t>
      </text>
    </comment>
    <comment authorId="0" ref="AS6">
      <text>
        <t xml:space="preserve">28/9
Depto. x 3 + bebe
no mover
In: 27/12/26 Out: 10/1/27
Tarifa x d: $ 294.000.-
Total x 14 d: $ 4.116.000.-
Seña a Lu: $ 
Tel: 011 15 54941713
Correo: spinellilaura@yahoo.com.ar</t>
      </text>
    </comment>
    <comment authorId="0" ref="AY43">
      <text>
        <t xml:space="preserve">6/10
Depto. x 4
In: 2/1/27 Out: 9/1/27
Tarifa x semana: $ 1.335.600.-
Seña: $ 135.000.- 8/10/26
Tel: 0346415563792
Correo: atiberi@outlook.es</t>
      </text>
    </comment>
    <comment authorId="0" ref="BE14">
      <text>
        <t xml:space="preserve">14/10
Viene con hab. 7
In: 8/1/27 Out: 11/1/27
Tarifa x d: $ 235.000.- $ 270.000.-
Total x 3 d: $ 740.000.-
Abonó total de hab. con hab. 7
Abona diferencia x cena buffet</t>
      </text>
    </comment>
    <comment authorId="0" ref="AP31">
      <text>
        <t xml:space="preserve">19/10
Hab. mat con balcón
In: 24/12/26 Out: 2/1/27
Tarifa x d: $ 218.000.- $ 235.000.-
Total x 9 d: $ 2.064.000.-
Seña: $ 206.400.- 19/10/26
Tel:
Correo: joa@marval.com
</t>
      </text>
    </comment>
    <comment authorId="0" ref="AR27">
      <text>
        <t xml:space="preserve">19/10
Hab. mat
In: 26/12/26 Out: 2/1/27
Tarifa x d: $ 218.000.- $ 235.000.-
Total x 7 d: $ 1.628.000.-
Seña: $ 162.800.- 19/10/26
Viene con hab. 24</t>
      </text>
    </comment>
    <comment authorId="0" ref="BA35">
      <text>
        <t xml:space="preserve">17/10
Hab. Single - no mover
In: 4/1/27 Out: 19/1/27
Tarifa x d: $ 149.000.- $ 170.000.-
Total x 15 d: $ 2.424.000.-
Tel: 011 15 50634187
Correo: eleonorafalcon@hotmail.com
Seña a Luli:</t>
      </text>
    </comment>
    <comment authorId="0" ref="AY31">
      <text>
        <t xml:space="preserve">2/10
Hab. mat - no mover
In: 2/1/27 Out: 9/1/27
Tarifa x d: $ 235.000.-
Total x 7 d: $ 1.645.000.-
Seña a Luli: $ 1.000.000.- 17/10/26
Tel: 011 15 57827433
Correo: lilitavidoni@yahoo.com.ar</t>
      </text>
    </comment>
    <comment authorId="0" ref="AY27">
      <text>
        <t xml:space="preserve">19/9
Hab. mat con balcón
In: 2/1/27 Out: 14/1/27
Tarifa x d: $ 235.000.- $ 270.000.-
Total x 12 d: $ 2.960.000.-
Seña a José Luis: $ 296.000.- 9/10/26
Tel: 011 1536991767
Correo: candyroy2007@hotmail.com</t>
      </text>
    </comment>
    <comment authorId="0" ref="AV23">
      <text>
        <t xml:space="preserve">21/10
Hab. mat
Llega x la noche - sale por la noche
In: 30/12/26 Out: 4/1/27 (3 x la noche)
Tarifa x d: $ 235.000.-
Total x 5 d: $ 1.175.000.-
Seña: $ 117.500.- 21/10/26
Tel: 011 1534370007
Correo: ed.ale.hansen@hotmail.com</t>
      </text>
    </comment>
    <comment authorId="0" ref="CC22">
      <text>
        <t xml:space="preserve">24/10
Depto. Hotelero x 4
In: 01/02/27 Out: 8/2/27
Tarifa x d: $ 408.000.-
Total x 7 d: $ 2.856.000.-
Seña: $ 285.600.- 24/10/26
Correo: corradovanina@gmail.com
Tel: 03415 15208582</t>
      </text>
    </comment>
    <comment authorId="0" ref="BT43">
      <text>
        <t xml:space="preserve">26/9
Depto. x 4 
In: 23/1/27 Out; 1/2/27
Tarifa x 9 d: $ 1.838.700.-
Seña: $ 200.000.- 7/10/26
Tel: 03416 15101714
Correo: ana.lia.grosso@hotmail.com</t>
      </text>
    </comment>
    <comment authorId="0" ref="BA23">
      <text>
        <t xml:space="preserve">20/10
Hab. Single
In: 4/1/27 Out: 10/1/27
Tarifa x d: $ 149.000.-
Total x 6 d: $ 894.000.-
Abona a Lu total: $ 804.600.-
Tel: 011 15 68797320
Correo: mariadelosangelesdelavega@gmail.com
Pasa luego con ruben</t>
      </text>
    </comment>
    <comment authorId="0" ref="AS11">
      <text>
        <t xml:space="preserve">5/10
Hab. mat - planta baja
In: 27/12/26 Out: 1/1/27
Tarifa x d :$ 235.000.-
Tarifa total x 5 d: $ 1.175.000.-
Seña: $ 117.500.- 6/10/26
Tel: 011 1541592228
Correo: nelidatorrillo@gmail.com</t>
      </text>
    </comment>
    <comment authorId="0" ref="BG23">
      <text>
        <t xml:space="preserve">20/10
Hab. Doble
In: 10/1/27 Out: 19/1/27
Pasa a hab. 24
Tarifa x d: $ 270.000.-
Total x 9 d: $ 2.430.000.-
</t>
      </text>
    </comment>
    <comment authorId="0" ref="BK27">
      <text>
        <t xml:space="preserve">20/10
Viene de hab. 19 con ángeles</t>
      </text>
    </comment>
    <comment authorId="0" ref="CC43">
      <text>
        <t xml:space="preserve">08/10
Depto. x 4
In: 01/02/2027 Out: 08/02/2027
Depto. x 1 semana: $ 1.430.100.-
Seña: $ 143.100.- 9/10/26
Tel:
Correo: coricampos@gmail.com
Hermano de Mariana (Tilo)</t>
      </text>
    </comment>
    <comment authorId="0" ref="DA34">
      <text>
        <t xml:space="preserve">08/10
Hab. Single con balcón
In: 25/2/27 Out: 2/3/27
Tarifa x d: $ 149.000.- $ 98.000.-
Total x 5 d: $ 694.000.-
Seña: $ 70.000.- 08/10/26
Tel: 0228415535000
Correo: titocatani@hotmail.com</t>
      </text>
    </comment>
    <comment authorId="0" ref="AN32">
      <text>
        <t xml:space="preserve">pre reserva
Hab. mat
no mover
In: 22/12/26 Out: 19/1/27
Tarifa x d: $ 218.000.- $ 235.000.- $ 270.000.-
Tarifa total por 28 d: $ </t>
      </text>
    </comment>
    <comment authorId="0" ref="AV7">
      <text>
        <t xml:space="preserve">26/9
Viene con hab. 8 y 9
Hab. Single planta baja
In: 30/12/26 Out: 11/1/27
Tarifa x d: $ 149.000.- $ 170.000.-
Total x 12 d: $ 1.809.000.-
Seña junto a Johanna</t>
      </text>
    </comment>
    <comment authorId="0" ref="BP27">
      <text>
        <t xml:space="preserve">19/9
Hab. Mat con balcón
In: 19/1/27 Out: 28/1/27
Tarifa x d: $ 270.000.-
Total x 9 d: $ 2.430.000.-
Final con descuento: $ 2.187.000.-
Abona a Lu en USD 5/10/26
A CUENTA: $ 
Tel: 11 53781078
Correo: laurapereyra957@gmail.com</t>
      </text>
    </comment>
    <comment authorId="0" ref="AX40">
      <text>
        <t xml:space="preserve">17/10
Depto. x 2
In: 1/1/27 Out: 1/2/27
Tarifa x mes: $ 3.800.000.- (valor promedio x cliente)
Seña a Luli: $ 
Tel: 011 15 36575182
Correo: valeriaverdino@hotmail.com</t>
      </text>
    </comment>
    <comment authorId="0" ref="BB11">
      <text>
        <t xml:space="preserve">14/10
Hab. matrimonial - no mover
In: 5/1/27 Out: 13/1/27
Tarifa x d: $ 235.000.- $ 270.000.-
Total x 8 d: $ 1.985.000.-
Tel: 011 15 50102103
Correo: jorgegabrielcozzi@yahoo.com.ar
Abona a Luli total de 4 habitaciones: USD 3.000.- 27/10
A FAVOR: $ 64.118.- (41.33 usd)
Viene con hab. 10, 21 y 17</t>
      </text>
    </comment>
    <comment authorId="0" ref="AO28">
      <text>
        <t xml:space="preserve">28/9
In: 23/12/26 Out: 26/12/26
Reserva a cargo de pedro + diferencia de cena buffet. Resto de extras deben cargarse y cobrarse a cada habitación.
1 hab. sgl x 3 d: $ 414.000.-
1 hab. Dbl x 3 d: $ 654.000.-
1 hab. tpl x 3 d: $ 819.000.-
2 depto. x 4 x 3 d: $ 1.980.000.-
Total: $ 3.867.000.-
Seña a Luli: $ 3.000.000.- 20/10/26
Tel: 011 15 44264925
Correo: pedro11pam@yahoo.com.ar</t>
      </text>
    </comment>
    <comment authorId="0" ref="CJ43">
      <text>
        <t xml:space="preserve">20/10
Depto. x 4
In: 8/2/27 Out: 15/2/27
Tarifa x semana: $ 1.575.000.-
Seña: $ 157.500.- 21/10/26
Tel: 11 64352234
Correo: vanidelgado55@gmail.com</t>
      </text>
    </comment>
    <comment authorId="0" ref="AZ36">
      <text>
        <t xml:space="preserve">22/9
Hab. mat amplia - no mover
In: 3/1/27 Out: 17/1/27
Tarifa x d: $ 235.000.- $ 270.000.-
Total x 14 d: $ 3.535.000.-
Sin seña - abona en hotel en USD
Tel: 02614 15682070
Correo: gracielaherrera213@gmail.com</t>
      </text>
    </comment>
    <comment authorId="0" ref="AO24">
      <text>
        <t xml:space="preserve">Viene con hab. 25</t>
      </text>
    </comment>
    <comment authorId="0" ref="CQ43">
      <text>
        <t xml:space="preserve">15/10
Depto. x 4 con desayuno y cena
Viene con hab.
In: 15/2/27 Out: 22/2/27
Tarifa x semana: $ 2.097.900.-
Seña: $ 209.000.- 16/10/26
Tel: 011 15 31739973
Correo: marcelabianchicui@gmail.com</t>
      </text>
    </comment>
    <comment authorId="0" ref="CG31">
      <text>
        <t xml:space="preserve">25/9
Hab. Triple
In: 5/2/27 Out: 10/2/27
Tarifa x d: $ 338.000.-
Tarifa total por 5 d: $ 1.690.000.-
Seña: $ 169.000.- 27/9/26
Tel: 011 15 28983012
Correo: oscarjgonzalezg@gmail.com</t>
      </text>
    </comment>
    <comment authorId="0" ref="AU24">
      <text>
        <t xml:space="preserve">3/10 (hizo reserva silvio liuzzi)
Hab. Doble - dos camas
In: 29/12/26, salida día 8/1/27
Tarifa x d: $ 235.000.- 3/10/26
Total x 10 d: $ 2.350.000.-
Seña: $ 235.000.-
Tel: 011 15 50495509
Correo: silvioliuzzi@hotmail.com</t>
      </text>
    </comment>
    <comment authorId="0" ref="BA28">
      <text>
        <t xml:space="preserve">26/9
Hab. Single
In: 4/1/27 Out: 11/1/27
Tarifa x d: $ 149.000.- $ 170.000.-
Total x 7 d: $ 1.064.000.-
Seña: $ 106.400.- 29/9/26
Tel: 011 15 58258682
Correo: dominicumma@gmail.com</t>
      </text>
    </comment>
    <comment authorId="0" ref="AV20">
      <text>
        <t xml:space="preserve">08/10
Hab. mat
In: 30/12/26 Out: 4/1/27
Tarifa x d: $ 235.000.-
Total x 5 d: $ 1.175.000.-
Tel: 011 15 62184118
Correo: claudioomardrago@gmail.com / matyfarinelli@hotmail.com
Seña en hotel en el mes de noviembre</t>
      </text>
    </comment>
    <comment authorId="0" ref="AO12">
      <text>
        <t xml:space="preserve">Viene con hab. 25</t>
      </text>
    </comment>
  </commentList>
</comments>
</file>

<file path=xl/sharedStrings.xml><?xml version="1.0" encoding="utf-8"?>
<sst xmlns="http://schemas.openxmlformats.org/spreadsheetml/2006/main" count="673" uniqueCount="392">
  <si>
    <t>ID Reserva</t>
  </si>
  <si>
    <t>Habitación</t>
  </si>
  <si>
    <t xml:space="preserve">Nombre </t>
  </si>
  <si>
    <t xml:space="preserve">Apellido </t>
  </si>
  <si>
    <t>Nombre y Apellido</t>
  </si>
  <si>
    <t>Check-in</t>
  </si>
  <si>
    <t>Check-out</t>
  </si>
  <si>
    <t>Fecha a consultar:</t>
  </si>
  <si>
    <t>Cantidad de personas</t>
  </si>
  <si>
    <t>Plan</t>
  </si>
  <si>
    <t>Estado</t>
  </si>
  <si>
    <t>Observaciones</t>
  </si>
  <si>
    <t>#00001</t>
  </si>
  <si>
    <t>El Tilo</t>
  </si>
  <si>
    <t>Fecha de reserva</t>
  </si>
  <si>
    <t>Mariana</t>
  </si>
  <si>
    <t>Sotelo Valenzuela</t>
  </si>
  <si>
    <t>Fecha de solicitud</t>
  </si>
  <si>
    <t>Medio de contacto</t>
  </si>
  <si>
    <t>Teléfono/mail</t>
  </si>
  <si>
    <t>Analia Grosso</t>
  </si>
  <si>
    <t>23/1/27 al 31/1/27 inc.</t>
  </si>
  <si>
    <t>Whatsapp - mail</t>
  </si>
  <si>
    <t>Reservó Esq. De quedar libre, pasa al via.</t>
  </si>
  <si>
    <t>Avisados</t>
  </si>
  <si>
    <t>Natalia Roth</t>
  </si>
  <si>
    <t>9/1/27 al 15/1/27 inc.</t>
  </si>
  <si>
    <t xml:space="preserve"> </t>
  </si>
  <si>
    <t xml:space="preserve">Whatsapp </t>
  </si>
  <si>
    <t>Son dos familias. Quieren esq y via</t>
  </si>
  <si>
    <t>341 3665374</t>
  </si>
  <si>
    <t>Carolina Roth</t>
  </si>
  <si>
    <t>Whatsapp</t>
  </si>
  <si>
    <t>341 3565567</t>
  </si>
  <si>
    <t>Personas que desayunan</t>
  </si>
  <si>
    <t>Sin desayuno</t>
  </si>
  <si>
    <t>Catalina Sivit</t>
  </si>
  <si>
    <t>2° quincena enero</t>
  </si>
  <si>
    <t>teléfono</t>
  </si>
  <si>
    <t xml:space="preserve">Son cinco personas. </t>
  </si>
  <si>
    <t>Noviembre</t>
  </si>
  <si>
    <t>3463 645630</t>
  </si>
  <si>
    <t>Con Seña</t>
  </si>
  <si>
    <t>Link de pago - Visa</t>
  </si>
  <si>
    <t>#00002</t>
  </si>
  <si>
    <t>24</t>
  </si>
  <si>
    <t>Laura</t>
  </si>
  <si>
    <t>Pereyra</t>
  </si>
  <si>
    <t>Media pensión</t>
  </si>
  <si>
    <t>Pago Total</t>
  </si>
  <si>
    <t>Con balcón</t>
  </si>
  <si>
    <t>#00003</t>
  </si>
  <si>
    <t xml:space="preserve">Claudia </t>
  </si>
  <si>
    <t>Cabrera</t>
  </si>
  <si>
    <t>#00004</t>
  </si>
  <si>
    <t>31</t>
  </si>
  <si>
    <t>Teresa</t>
  </si>
  <si>
    <t>Macchiavello</t>
  </si>
  <si>
    <t>Con desayuno</t>
  </si>
  <si>
    <t>Con balcón - no mover</t>
  </si>
  <si>
    <t>#00005</t>
  </si>
  <si>
    <t>3</t>
  </si>
  <si>
    <t>Jose</t>
  </si>
  <si>
    <t>Podesta</t>
  </si>
  <si>
    <t xml:space="preserve">No mover </t>
  </si>
  <si>
    <t>#00006</t>
  </si>
  <si>
    <t>33</t>
  </si>
  <si>
    <t>Alejandro</t>
  </si>
  <si>
    <t>Canals</t>
  </si>
  <si>
    <t>3 + bebe</t>
  </si>
  <si>
    <t>#00007</t>
  </si>
  <si>
    <t>34</t>
  </si>
  <si>
    <t>#00008</t>
  </si>
  <si>
    <t>Graciela</t>
  </si>
  <si>
    <t>Herrera</t>
  </si>
  <si>
    <t>Sin seña</t>
  </si>
  <si>
    <t>Abona en USD -  no mover</t>
  </si>
  <si>
    <t>#00009</t>
  </si>
  <si>
    <t>Carmen</t>
  </si>
  <si>
    <t>Segreti</t>
  </si>
  <si>
    <t>#00010</t>
  </si>
  <si>
    <t>Julio</t>
  </si>
  <si>
    <t>Cassanello</t>
  </si>
  <si>
    <t>Planta baja</t>
  </si>
  <si>
    <t>D</t>
  </si>
  <si>
    <t>#00011</t>
  </si>
  <si>
    <t>28</t>
  </si>
  <si>
    <t>Oscar</t>
  </si>
  <si>
    <t>Gonzalez</t>
  </si>
  <si>
    <t>#00012</t>
  </si>
  <si>
    <t>2</t>
  </si>
  <si>
    <t>Nidia</t>
  </si>
  <si>
    <t>Marini</t>
  </si>
  <si>
    <t>#00013</t>
  </si>
  <si>
    <t>8 y 9</t>
  </si>
  <si>
    <t xml:space="preserve">Johanna </t>
  </si>
  <si>
    <t>Bauer</t>
  </si>
  <si>
    <t>1° piso, dos  baños</t>
  </si>
  <si>
    <t>#00014</t>
  </si>
  <si>
    <t>25</t>
  </si>
  <si>
    <t>Patricia</t>
  </si>
  <si>
    <t>Gauna</t>
  </si>
  <si>
    <t>#00015</t>
  </si>
  <si>
    <t>Esquinita</t>
  </si>
  <si>
    <t>Analia</t>
  </si>
  <si>
    <t>Grosso</t>
  </si>
  <si>
    <t>Pasa a vía de quedar libre - NO</t>
  </si>
  <si>
    <t>#00016</t>
  </si>
  <si>
    <t>29</t>
  </si>
  <si>
    <t xml:space="preserve">Norma </t>
  </si>
  <si>
    <t>Murcian</t>
  </si>
  <si>
    <t>Con balcón - dos camas</t>
  </si>
  <si>
    <t>#00017</t>
  </si>
  <si>
    <t>Pedro</t>
  </si>
  <si>
    <t>Marchese</t>
  </si>
  <si>
    <t>Poner tacos en respaldo</t>
  </si>
  <si>
    <t>#00018</t>
  </si>
  <si>
    <t>21</t>
  </si>
  <si>
    <t>#00019</t>
  </si>
  <si>
    <t>17</t>
  </si>
  <si>
    <r>
      <rPr>
        <rFont val="Verdana"/>
        <color rgb="FFFFFFFF"/>
        <sz val="10.0"/>
      </rPr>
      <t>D</t>
    </r>
    <r>
      <rPr>
        <rFont val="Verdana"/>
        <color rgb="FF000000"/>
        <sz val="10.0"/>
      </rPr>
      <t>D</t>
    </r>
  </si>
  <si>
    <t>#00020</t>
  </si>
  <si>
    <t>18</t>
  </si>
  <si>
    <t>Personas que cenan</t>
  </si>
  <si>
    <t>#00021</t>
  </si>
  <si>
    <t>#00022</t>
  </si>
  <si>
    <t>27</t>
  </si>
  <si>
    <t>Cecilia</t>
  </si>
  <si>
    <t>No mover</t>
  </si>
  <si>
    <t>#00023</t>
  </si>
  <si>
    <t>6</t>
  </si>
  <si>
    <t>Osvaldo</t>
  </si>
  <si>
    <t>Cordero</t>
  </si>
  <si>
    <t>#00024</t>
  </si>
  <si>
    <t>1</t>
  </si>
  <si>
    <t>Spinelli</t>
  </si>
  <si>
    <t>3 + bb</t>
  </si>
  <si>
    <t>Ingresos</t>
  </si>
  <si>
    <t>#00025</t>
  </si>
  <si>
    <t>35 y 36</t>
  </si>
  <si>
    <t>Alberto</t>
  </si>
  <si>
    <t>Garcia</t>
  </si>
  <si>
    <t>Egresos</t>
  </si>
  <si>
    <t>#00026</t>
  </si>
  <si>
    <t>19</t>
  </si>
  <si>
    <t>Personas alojadas</t>
  </si>
  <si>
    <t>Raúl</t>
  </si>
  <si>
    <t>Rossini</t>
  </si>
  <si>
    <t>#00027</t>
  </si>
  <si>
    <t>Liliana</t>
  </si>
  <si>
    <t>Traficante</t>
  </si>
  <si>
    <t>#00028</t>
  </si>
  <si>
    <t>Irma</t>
  </si>
  <si>
    <t>Udrizard</t>
  </si>
  <si>
    <t>#00029</t>
  </si>
  <si>
    <t>22</t>
  </si>
  <si>
    <t>Ana Luz</t>
  </si>
  <si>
    <t>La Banca</t>
  </si>
  <si>
    <t>Booking</t>
  </si>
  <si>
    <t>#00030</t>
  </si>
  <si>
    <t>FINDE LARGO</t>
  </si>
  <si>
    <t>05</t>
  </si>
  <si>
    <t>Belen</t>
  </si>
  <si>
    <t>Albar Diaz</t>
  </si>
  <si>
    <t>#00031</t>
  </si>
  <si>
    <t>30</t>
  </si>
  <si>
    <t>Romina</t>
  </si>
  <si>
    <t>Rozas</t>
  </si>
  <si>
    <t>Nombre</t>
  </si>
  <si>
    <t>Apellido</t>
  </si>
  <si>
    <t>2 camas</t>
  </si>
  <si>
    <t>#00032</t>
  </si>
  <si>
    <t>Maio</t>
  </si>
  <si>
    <t>Personas</t>
  </si>
  <si>
    <t>#00033</t>
  </si>
  <si>
    <t>Daniel</t>
  </si>
  <si>
    <t>Bonanno</t>
  </si>
  <si>
    <t>#00034</t>
  </si>
  <si>
    <t>7</t>
  </si>
  <si>
    <t>Nelina</t>
  </si>
  <si>
    <t>Capacidad total de personas</t>
  </si>
  <si>
    <t>Torrillo</t>
  </si>
  <si>
    <t>#00035</t>
  </si>
  <si>
    <t>Anabella</t>
  </si>
  <si>
    <t>Tiberi</t>
  </si>
  <si>
    <t>#00036</t>
  </si>
  <si>
    <t xml:space="preserve">Neli </t>
  </si>
  <si>
    <t>Senga</t>
  </si>
  <si>
    <t>FINDE LARGO CARNAVAL</t>
  </si>
  <si>
    <t>Dos camas - Planta baja</t>
  </si>
  <si>
    <t>#00037</t>
  </si>
  <si>
    <t>Andrés</t>
  </si>
  <si>
    <t>#00038</t>
  </si>
  <si>
    <t>Ernesto</t>
  </si>
  <si>
    <t>Catani</t>
  </si>
  <si>
    <t>con balcón</t>
  </si>
  <si>
    <t>#00039</t>
  </si>
  <si>
    <t>16</t>
  </si>
  <si>
    <t>Claudio/Matilde</t>
  </si>
  <si>
    <t>Drago/Farinelli</t>
  </si>
  <si>
    <t>#00040</t>
  </si>
  <si>
    <t>Fabbio</t>
  </si>
  <si>
    <t>Dos camas</t>
  </si>
  <si>
    <t>#00041</t>
  </si>
  <si>
    <t>Mario y Renata</t>
  </si>
  <si>
    <t>Lipschitz</t>
  </si>
  <si>
    <t>Pre reserva</t>
  </si>
  <si>
    <t>#00042</t>
  </si>
  <si>
    <t>#00043</t>
  </si>
  <si>
    <t>#00044</t>
  </si>
  <si>
    <t>Jorge</t>
  </si>
  <si>
    <t>Cozzi</t>
  </si>
  <si>
    <t>% de ocupación de personas</t>
  </si>
  <si>
    <t>#00045</t>
  </si>
  <si>
    <t>10</t>
  </si>
  <si>
    <t>#00046</t>
  </si>
  <si>
    <t>#00047</t>
  </si>
  <si>
    <t>Dante</t>
  </si>
  <si>
    <t>Mereles</t>
  </si>
  <si>
    <t>#00048</t>
  </si>
  <si>
    <t>Haydee</t>
  </si>
  <si>
    <t>Lewin</t>
  </si>
  <si>
    <t>Total habitaciones</t>
  </si>
  <si>
    <t>#00049</t>
  </si>
  <si>
    <t>#00050</t>
  </si>
  <si>
    <t>Vía I</t>
  </si>
  <si>
    <t>#00051</t>
  </si>
  <si>
    <t>Habitaciones ocupadas</t>
  </si>
  <si>
    <t>26</t>
  </si>
  <si>
    <t>Carlos</t>
  </si>
  <si>
    <t>Magno</t>
  </si>
  <si>
    <t>#00052</t>
  </si>
  <si>
    <t>Marcela</t>
  </si>
  <si>
    <t>Bianchi</t>
  </si>
  <si>
    <t>#00053</t>
  </si>
  <si>
    <t>#00054</t>
  </si>
  <si>
    <t>#00055</t>
  </si>
  <si>
    <t>Valeria</t>
  </si>
  <si>
    <t>Verdino</t>
  </si>
  <si>
    <t xml:space="preserve">Quizá llega el 29 o 30 de dic </t>
  </si>
  <si>
    <t>#00056</t>
  </si>
  <si>
    <t>32</t>
  </si>
  <si>
    <t>Eleonora</t>
  </si>
  <si>
    <t>Falcón</t>
  </si>
  <si>
    <t>#00057</t>
  </si>
  <si>
    <t>12</t>
  </si>
  <si>
    <t>Juan Carlos</t>
  </si>
  <si>
    <t>% de ocupación de habitaciones</t>
  </si>
  <si>
    <t>Arce</t>
  </si>
  <si>
    <t>H3</t>
  </si>
  <si>
    <t>#00058</t>
  </si>
  <si>
    <t>Estado de habitaciones</t>
  </si>
  <si>
    <t>Aguirre</t>
  </si>
  <si>
    <t>#00059</t>
  </si>
  <si>
    <t>#00060</t>
  </si>
  <si>
    <t>Bonilauri</t>
  </si>
  <si>
    <t>#00061</t>
  </si>
  <si>
    <t>#00062</t>
  </si>
  <si>
    <t>Cynthia</t>
  </si>
  <si>
    <t>Delgado</t>
  </si>
  <si>
    <t>#00063</t>
  </si>
  <si>
    <t>Ángeles</t>
  </si>
  <si>
    <t>De La Vega</t>
  </si>
  <si>
    <t>Huésped</t>
  </si>
  <si>
    <t>#00064</t>
  </si>
  <si>
    <t>SC Laura Spinelli x 3 + bebe - no mover</t>
  </si>
  <si>
    <t>#00065</t>
  </si>
  <si>
    <t>#00066</t>
  </si>
  <si>
    <t>Edward Alejandro</t>
  </si>
  <si>
    <t>Hansen</t>
  </si>
  <si>
    <t>Llega 30 x la noche-sale 3 x la noche</t>
  </si>
  <si>
    <t>#00067</t>
  </si>
  <si>
    <t>Fatima</t>
  </si>
  <si>
    <t>De Paula Pires</t>
  </si>
  <si>
    <t>#00068</t>
  </si>
  <si>
    <t>Silvia</t>
  </si>
  <si>
    <t>Paiges</t>
  </si>
  <si>
    <t>Booking - Cuatro camas</t>
  </si>
  <si>
    <t>#00069</t>
  </si>
  <si>
    <t>Silvina</t>
  </si>
  <si>
    <t>Molina</t>
  </si>
  <si>
    <t>H2</t>
  </si>
  <si>
    <t>Late check out - sale 18 hs.</t>
  </si>
  <si>
    <t>#00070</t>
  </si>
  <si>
    <t>Vanina</t>
  </si>
  <si>
    <t>Corrado</t>
  </si>
  <si>
    <t>#00071</t>
  </si>
  <si>
    <t>#00072</t>
  </si>
  <si>
    <t>#00073</t>
  </si>
  <si>
    <t>#00074</t>
  </si>
  <si>
    <t>#00075</t>
  </si>
  <si>
    <t>#00076</t>
  </si>
  <si>
    <t>#00077</t>
  </si>
  <si>
    <t xml:space="preserve"> Nidia Marini x 1  - Planta baja</t>
  </si>
  <si>
    <t>#00078</t>
  </si>
  <si>
    <t>#00079</t>
  </si>
  <si>
    <t>#00080</t>
  </si>
  <si>
    <t>#00081</t>
  </si>
  <si>
    <t>#00082</t>
  </si>
  <si>
    <t>#00083</t>
  </si>
  <si>
    <t>#00084</t>
  </si>
  <si>
    <t>#00085</t>
  </si>
  <si>
    <t>#00086</t>
  </si>
  <si>
    <t>#00087</t>
  </si>
  <si>
    <t>#00088</t>
  </si>
  <si>
    <t>#00089</t>
  </si>
  <si>
    <t>#00090</t>
  </si>
  <si>
    <t xml:space="preserve"> Julio Cassanello x 2 planta baja</t>
  </si>
  <si>
    <t>#00091</t>
  </si>
  <si>
    <t>#00092</t>
  </si>
  <si>
    <t xml:space="preserve"> José Podestá - x 2 -  no mover</t>
  </si>
  <si>
    <t>#00093</t>
  </si>
  <si>
    <t>#00094</t>
  </si>
  <si>
    <t>#00095</t>
  </si>
  <si>
    <t>D4</t>
  </si>
  <si>
    <t>#00096</t>
  </si>
  <si>
    <t>#00097</t>
  </si>
  <si>
    <t>#00098</t>
  </si>
  <si>
    <t>#00099</t>
  </si>
  <si>
    <t>Belen Albar Diaz - x 4 - no mover</t>
  </si>
  <si>
    <t>Osvaldo Cordero x 4 no mover</t>
  </si>
  <si>
    <t>Nelida Torrillo x 2 P. baja</t>
  </si>
  <si>
    <t>Jorge Cozzi x 2 - no mover</t>
  </si>
  <si>
    <t xml:space="preserve"> Neli Senga x 2 camas p. baja</t>
  </si>
  <si>
    <t xml:space="preserve"> Marchese x4</t>
  </si>
  <si>
    <t xml:space="preserve"> Johanna Bauer x 4 - 1° piso y 2 baños</t>
  </si>
  <si>
    <t>BK Silvia Paiges - x 4 camas</t>
  </si>
  <si>
    <t>Cozzi x 2 camas</t>
  </si>
  <si>
    <t xml:space="preserve"> Juan Carlos Arce - x 2 -  no mover</t>
  </si>
  <si>
    <t>SC Drago/Farinelli x 2</t>
  </si>
  <si>
    <t>D3</t>
  </si>
  <si>
    <t>Marchese x3</t>
  </si>
  <si>
    <t xml:space="preserve"> Jorge Cozzi x 3</t>
  </si>
  <si>
    <t>SC Silvina Molina x 3 camas -  no mover - sale x la tarde</t>
  </si>
  <si>
    <t>SC x 4 -&gt;</t>
  </si>
  <si>
    <t>Vanina Corrado x 4</t>
  </si>
  <si>
    <t>Edward Hansen x 2              *</t>
  </si>
  <si>
    <t>SC Ángeles de la Vega x 1                -&gt;</t>
  </si>
  <si>
    <t>SC De la Vega x 2        -&gt;</t>
  </si>
  <si>
    <t>Sc Raúl Rossini x 1 - no mover</t>
  </si>
  <si>
    <t xml:space="preserve"> Marchese x2</t>
  </si>
  <si>
    <t>Irma Teresa Maio - x 2 camas</t>
  </si>
  <si>
    <t>Cozzi x 2 mat</t>
  </si>
  <si>
    <t>Romina Fabbio x 2 camas</t>
  </si>
  <si>
    <t>BK Daniel Bonanno -  2 camas c/balcón</t>
  </si>
  <si>
    <t>BK Ana Luz La banca - x 2 mat</t>
  </si>
  <si>
    <t>Jorge Aguirre x 2 - con balcón</t>
  </si>
  <si>
    <t>Claudia Cabrera x 2 - con balcón</t>
  </si>
  <si>
    <t>SC &lt;- De la Vega x 2 no mover</t>
  </si>
  <si>
    <t xml:space="preserve"> Laura Pereyra x 2 - con balcón</t>
  </si>
  <si>
    <t>Carmen y Carlos Segreti x 2 mat con balcón</t>
  </si>
  <si>
    <t xml:space="preserve"> Marchese x1</t>
  </si>
  <si>
    <t xml:space="preserve"> Patricia Gauna x 1</t>
  </si>
  <si>
    <t>Pedro Marchese x 1 - poner tacos en respaldo de sommier</t>
  </si>
  <si>
    <t>SC Carlos Magno - x 2 -  con balcón</t>
  </si>
  <si>
    <t>Irma Udrizard x 1</t>
  </si>
  <si>
    <t>Cecilia Podesta -x 1 no mover</t>
  </si>
  <si>
    <t xml:space="preserve">Jorge Aguirre x 2 - </t>
  </si>
  <si>
    <t xml:space="preserve"> Liliana Traficante - x 2 no mover</t>
  </si>
  <si>
    <t xml:space="preserve"> Oscar Gonzalez x 3</t>
  </si>
  <si>
    <t>SC Lipschitz x 2 - no mover</t>
  </si>
  <si>
    <t xml:space="preserve"> Norma Murcian x 2  camas - con balcón</t>
  </si>
  <si>
    <t xml:space="preserve"> Marcela Bianchi x 2 camas con balcón</t>
  </si>
  <si>
    <t xml:space="preserve"> Romina Rozas x 2 camas</t>
  </si>
  <si>
    <t>H1</t>
  </si>
  <si>
    <t xml:space="preserve"> Teresa Mauri - x 1 - sólo desayuno - no mover</t>
  </si>
  <si>
    <t>Sc Fatima de Paula x 1</t>
  </si>
  <si>
    <t>Ernesto Catani x 1 no mover</t>
  </si>
  <si>
    <t xml:space="preserve"> Bonilauri x 1</t>
  </si>
  <si>
    <t>Sc Eleonora Falcón x 1 - no mover</t>
  </si>
  <si>
    <t>Graciela Herrera - x 2 no mover</t>
  </si>
  <si>
    <t xml:space="preserve"> Alejandro Canals x 3 + cuna chica</t>
  </si>
  <si>
    <t xml:space="preserve"> Alejandro Canals x 2</t>
  </si>
  <si>
    <t>SC Alberto Garcia - x 4 -  dos mat</t>
  </si>
  <si>
    <t>SC -&gt; Lipschitz x 4 - no mover</t>
  </si>
  <si>
    <t>via I</t>
  </si>
  <si>
    <t>SC Verdino</t>
  </si>
  <si>
    <t>SC Valeria Verdino x 2</t>
  </si>
  <si>
    <t>SC Hermano Sotelo Valenzuela x 4</t>
  </si>
  <si>
    <t>Tilo</t>
  </si>
  <si>
    <t>Dante Mereles x 5</t>
  </si>
  <si>
    <t>Mariana Valenzuela x 4</t>
  </si>
  <si>
    <t>Romerito</t>
  </si>
  <si>
    <t>x 2 - reserva de Juli</t>
  </si>
  <si>
    <t>Luli</t>
  </si>
  <si>
    <t>La Esquinita</t>
  </si>
  <si>
    <t xml:space="preserve"> Anabella Tiberi x 4</t>
  </si>
  <si>
    <t>Analia Grosso y Mirko Rasposo x 4 dos camas ind en hab</t>
  </si>
  <si>
    <t xml:space="preserve"> Andres Sotelo Valenzuela x 4</t>
  </si>
  <si>
    <t>Cynthia y Gastón x 4</t>
  </si>
  <si>
    <t>Marcela Bianchi x 4 desayuno y map</t>
  </si>
  <si>
    <t xml:space="preserve"> Haydee Lewin x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</si>
</sst>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M/yyyy"/>
    <numFmt numFmtId="165" formatCode="d/m/yy"/>
    <numFmt numFmtId="166" formatCode="mmmm yyyy"/>
    <numFmt numFmtId="167" formatCode="dd/mm/yy"/>
    <numFmt numFmtId="168" formatCode="d/m"/>
    <numFmt numFmtId="169" formatCode="d&quot;/&quot;mm"/>
    <numFmt numFmtId="170" formatCode="d/m/yyyy"/>
    <numFmt numFmtId="171" formatCode="dd/m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24.0"/>
      <color rgb="FFFFFFFF"/>
      <name val="Verdana"/>
    </font>
    <font>
      <sz val="36.0"/>
      <color rgb="FFFFFFFF"/>
      <name val="Verdana"/>
    </font>
    <font>
      <sz val="10.0"/>
      <color rgb="FF000000"/>
      <name val="Verdana"/>
    </font>
    <font>
      <sz val="10.0"/>
      <color rgb="FFFFFFFF"/>
      <name val="Verdana"/>
    </font>
    <font>
      <b/>
      <sz val="15.0"/>
      <color theme="1"/>
      <name val="Arial"/>
      <scheme val="minor"/>
    </font>
    <font>
      <color theme="1"/>
      <name val="Arial"/>
    </font>
    <font>
      <sz val="12.0"/>
      <color rgb="FF000000"/>
      <name val="Calibri"/>
    </font>
    <font>
      <color rgb="FFFFFFFF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rgb="FFF3F3F3"/>
      <name val="Arial"/>
      <scheme val="minor"/>
    </font>
    <font>
      <b/>
      <sz val="17.0"/>
      <color theme="1"/>
      <name val="Arial"/>
      <scheme val="minor"/>
    </font>
    <font>
      <sz val="13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0" xfId="0" applyBorder="1" applyFont="1"/>
    <xf borderId="3" fillId="0" fontId="2" numFmtId="14" xfId="0" applyAlignment="1" applyBorder="1" applyFont="1" applyNumberFormat="1">
      <alignment readingOrder="0"/>
    </xf>
    <xf borderId="0" fillId="0" fontId="1" numFmtId="49" xfId="0" applyFont="1" applyNumberFormat="1"/>
    <xf borderId="0" fillId="0" fontId="2" numFmtId="0" xfId="0" applyFont="1"/>
    <xf borderId="1" fillId="0" fontId="1" numFmtId="165" xfId="0" applyAlignment="1" applyBorder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4" fillId="0" fontId="2" numFmtId="0" xfId="0" applyAlignment="1" applyBorder="1" applyFont="1">
      <alignment readingOrder="0"/>
    </xf>
    <xf borderId="0" fillId="2" fontId="4" numFmtId="166" xfId="0" applyAlignment="1" applyFill="1" applyFont="1" applyNumberForma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2" fontId="1" numFmtId="0" xfId="0" applyFill="1" applyFont="1"/>
    <xf borderId="0" fillId="4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4" fillId="0" fontId="2" numFmtId="0" xfId="0" applyBorder="1" applyFon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2" fontId="8" numFmtId="166" xfId="0" applyAlignment="1" applyFill="1" applyFont="1" applyNumberFormat="1">
      <alignment vertical="bottom"/>
    </xf>
    <xf borderId="0" fillId="0" fontId="9" numFmtId="0" xfId="0" applyFont="1"/>
    <xf borderId="0" fillId="5" fontId="10" numFmtId="168" xfId="0" applyAlignment="1" applyFill="1" applyFont="1" applyNumberFormat="1">
      <alignment readingOrder="0"/>
    </xf>
    <xf borderId="0" fillId="6" fontId="11" numFmtId="0" xfId="0" applyAlignment="1" applyFill="1" applyFont="1">
      <alignment horizontal="center" readingOrder="0"/>
    </xf>
    <xf borderId="0" fillId="7" fontId="12" numFmtId="0" xfId="0" applyAlignment="1" applyFill="1" applyFont="1">
      <alignment readingOrder="0"/>
    </xf>
    <xf borderId="0" fillId="5" fontId="13" numFmtId="169" xfId="0" applyAlignment="1" applyFill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8" fontId="12" numFmtId="0" xfId="0" applyAlignment="1" applyFill="1" applyFont="1">
      <alignment readingOrder="0"/>
    </xf>
    <xf borderId="0" fillId="5" fontId="13" numFmtId="0" xfId="0" applyAlignment="1" applyFill="1" applyFont="1">
      <alignment horizontal="center" readingOrder="0"/>
    </xf>
    <xf borderId="0" fillId="5" fontId="13" numFmtId="0" xfId="0" applyAlignment="1" applyFill="1" applyFont="1">
      <alignment readingOrder="0"/>
    </xf>
    <xf borderId="0" fillId="5" fontId="8" numFmtId="169" xfId="0" applyAlignment="1" applyFill="1" applyFont="1" applyNumberFormat="1">
      <alignment vertical="bottom"/>
    </xf>
    <xf borderId="4" fillId="0" fontId="2" numFmtId="10" xfId="0" applyBorder="1" applyFont="1" applyNumberFormat="1"/>
    <xf borderId="0" fillId="0" fontId="1" numFmtId="0" xfId="0" applyAlignment="1" applyFont="1">
      <alignment horizontal="left" readingOrder="0"/>
    </xf>
    <xf borderId="0" fillId="9" fontId="1" numFmtId="0" xfId="0" applyFill="1" applyFont="1"/>
    <xf borderId="0" fillId="9" fontId="9" numFmtId="0" xfId="0" applyFill="1" applyFont="1"/>
    <xf borderId="0" fillId="4" fontId="9" numFmtId="0" xfId="0" applyFill="1" applyFont="1"/>
    <xf borderId="0" fillId="0" fontId="14" numFmtId="49" xfId="0" applyAlignment="1" applyFont="1" applyNumberFormat="1">
      <alignment horizontal="center" readingOrder="0"/>
    </xf>
    <xf borderId="5" fillId="4" fontId="9" numFmtId="0" xfId="0" applyBorder="1" applyFill="1" applyFont="1"/>
    <xf borderId="4" fillId="0" fontId="1" numFmtId="49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5" fillId="4" fontId="9" numFmtId="0" xfId="0" applyAlignment="1" applyBorder="1" applyFill="1" applyFont="1">
      <alignment readingOrder="0"/>
    </xf>
    <xf borderId="5" fillId="0" fontId="1" numFmtId="0" xfId="0" applyBorder="1" applyFont="1"/>
    <xf borderId="4" fillId="0" fontId="1" numFmtId="49" xfId="0" applyBorder="1" applyFont="1" applyNumberFormat="1"/>
    <xf borderId="0" fillId="4" fontId="1" numFmtId="0" xfId="0" applyAlignment="1" applyFill="1" applyFont="1">
      <alignment readingOrder="0"/>
    </xf>
    <xf borderId="0" fillId="4" fontId="8" numFmtId="0" xfId="0" applyAlignment="1" applyFill="1" applyFont="1">
      <alignment vertical="bottom"/>
    </xf>
    <xf borderId="0" fillId="10" fontId="1" numFmtId="0" xfId="0" applyFill="1" applyFont="1"/>
    <xf borderId="4" fillId="0" fontId="1" numFmtId="0" xfId="0" applyBorder="1" applyFont="1"/>
    <xf borderId="0" fillId="10" fontId="9" numFmtId="0" xfId="0" applyFill="1" applyFont="1"/>
    <xf borderId="0" fillId="3" fontId="9" numFmtId="0" xfId="0" applyAlignment="1" applyFill="1" applyFont="1">
      <alignment readingOrder="0"/>
    </xf>
    <xf borderId="4" fillId="0" fontId="1" numFmtId="164" xfId="0" applyBorder="1" applyFont="1" applyNumberFormat="1"/>
    <xf borderId="0" fillId="0" fontId="8" numFmtId="0" xfId="0" applyAlignment="1" applyFont="1">
      <alignment vertical="bottom"/>
    </xf>
    <xf borderId="0" fillId="4" fontId="9" numFmtId="0" xfId="0" applyAlignment="1" applyFill="1" applyFont="1">
      <alignment readingOrder="0"/>
    </xf>
    <xf borderId="0" fillId="11" fontId="9" numFmtId="0" xfId="0" applyAlignment="1" applyFill="1" applyFont="1">
      <alignment readingOrder="0"/>
    </xf>
    <xf borderId="0" fillId="0" fontId="1" numFmtId="164" xfId="0" applyFont="1" applyNumberFormat="1"/>
    <xf borderId="0" fillId="3" fontId="9" numFmtId="0" xfId="0" applyFill="1" applyFont="1"/>
    <xf borderId="0" fillId="0" fontId="1" numFmtId="165" xfId="0" applyAlignment="1" applyFont="1" applyNumberFormat="1">
      <alignment readingOrder="0"/>
    </xf>
    <xf borderId="0" fillId="11" fontId="1" numFmtId="0" xfId="0" applyAlignment="1" applyFill="1" applyFont="1">
      <alignment readingOrder="0"/>
    </xf>
    <xf borderId="0" fillId="4" fontId="1" numFmtId="0" xfId="0" applyFill="1" applyFont="1"/>
    <xf borderId="0" fillId="10" fontId="9" numFmtId="0" xfId="0" applyAlignment="1" applyFill="1" applyFont="1">
      <alignment readingOrder="0"/>
    </xf>
    <xf borderId="0" fillId="0" fontId="1" numFmtId="171" xfId="0" applyAlignment="1" applyFont="1" applyNumberFormat="1">
      <alignment readingOrder="0"/>
    </xf>
    <xf borderId="0" fillId="12" fontId="9" numFmtId="0" xfId="0" applyAlignment="1" applyFill="1" applyFont="1">
      <alignment readingOrder="0"/>
    </xf>
    <xf borderId="6" fillId="0" fontId="1" numFmtId="49" xfId="0" applyBorder="1" applyFont="1" applyNumberFormat="1"/>
    <xf borderId="0" fillId="4" fontId="15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9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4" fontId="1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9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24" width="5.13"/>
    <col customWidth="1" min="25" max="25" width="5.5"/>
    <col customWidth="1" min="26" max="100" width="5.13"/>
    <col customWidth="1" min="101" max="101" width="4.88"/>
    <col customWidth="1" min="102" max="110" width="5.13"/>
    <col customWidth="1" min="111" max="111" width="5.38"/>
    <col customWidth="1" min="112" max="116" width="5.13"/>
    <col customWidth="1" min="117" max="117" width="5.63"/>
    <col customWidth="1" min="118" max="169" width="5.13"/>
  </cols>
  <sheetData>
    <row r="1">
      <c r="A1" s="1" t="s">
        <v>27</v>
      </c>
      <c r="C1" s="11"/>
      <c r="D1" s="11"/>
      <c r="E1" s="11"/>
      <c r="F1" s="11" t="s">
        <v>40</v>
      </c>
      <c r="U1" s="13"/>
      <c r="V1" s="13">
        <v>46357.0</v>
      </c>
      <c r="AX1" s="13">
        <v>46388.0</v>
      </c>
      <c r="CC1" s="13">
        <v>46419.0</v>
      </c>
      <c r="DE1" s="13">
        <v>46447.0</v>
      </c>
      <c r="EJ1" s="13">
        <v>46478.0</v>
      </c>
    </row>
    <row r="2">
      <c r="C2" s="11"/>
      <c r="D2" s="11"/>
      <c r="E2" s="11"/>
      <c r="U2" s="13"/>
    </row>
    <row r="3">
      <c r="C3" s="14"/>
      <c r="D3" s="14"/>
      <c r="E3" s="14"/>
      <c r="F3" s="14"/>
      <c r="G3" s="14"/>
      <c r="H3" s="14"/>
      <c r="I3" s="14"/>
      <c r="J3" s="15" t="s">
        <v>84</v>
      </c>
      <c r="K3" s="16"/>
      <c r="L3" s="16"/>
      <c r="M3" s="14"/>
      <c r="N3" s="14"/>
      <c r="O3" s="14"/>
      <c r="P3" s="14"/>
      <c r="Q3" s="15" t="s">
        <v>84</v>
      </c>
      <c r="R3" s="14"/>
      <c r="S3" s="14"/>
      <c r="T3" s="14"/>
      <c r="U3" s="14"/>
      <c r="V3" s="14"/>
      <c r="W3" s="16"/>
      <c r="X3" s="15" t="s">
        <v>84</v>
      </c>
      <c r="Y3" s="14"/>
      <c r="Z3" s="16"/>
      <c r="AA3" s="16"/>
      <c r="AB3" s="16"/>
      <c r="AC3" s="16"/>
      <c r="AD3" s="16"/>
      <c r="AE3" s="17" t="s">
        <v>84</v>
      </c>
      <c r="AF3" s="18"/>
      <c r="AG3" s="16"/>
      <c r="AH3" s="13"/>
      <c r="AI3" s="13"/>
      <c r="AJ3" s="13"/>
      <c r="AK3" s="16"/>
      <c r="AL3" s="19" t="s">
        <v>84</v>
      </c>
      <c r="AM3" s="14"/>
      <c r="AN3" s="16"/>
      <c r="AO3" s="13"/>
      <c r="AP3" s="13"/>
      <c r="AQ3" s="13"/>
      <c r="AR3" s="16"/>
      <c r="AS3" s="19" t="s">
        <v>84</v>
      </c>
      <c r="AT3" s="14"/>
      <c r="AU3" s="16"/>
      <c r="AV3" s="13"/>
      <c r="AW3" s="13"/>
      <c r="AX3" s="13"/>
      <c r="AY3" s="16"/>
      <c r="AZ3" s="19" t="s">
        <v>84</v>
      </c>
      <c r="BA3" s="14"/>
      <c r="BB3" s="16"/>
      <c r="BC3" s="16"/>
      <c r="BD3" s="16"/>
      <c r="BE3" s="13"/>
      <c r="BF3" s="16"/>
      <c r="BG3" s="19" t="s">
        <v>84</v>
      </c>
      <c r="BH3" s="14"/>
      <c r="BI3" s="16"/>
      <c r="BJ3" s="16"/>
      <c r="BK3" s="16"/>
      <c r="BL3" s="13"/>
      <c r="BM3" s="16"/>
      <c r="BN3" s="19" t="s">
        <v>84</v>
      </c>
      <c r="BO3" s="14"/>
      <c r="BP3" s="16"/>
      <c r="BQ3" s="16"/>
      <c r="BR3" s="16"/>
      <c r="BS3" s="13"/>
      <c r="BT3" s="16"/>
      <c r="BU3" s="20" t="s">
        <v>120</v>
      </c>
      <c r="BV3" s="21"/>
      <c r="BW3" s="16"/>
      <c r="BX3" s="13"/>
      <c r="BY3" s="13"/>
      <c r="BZ3" s="13"/>
      <c r="CA3" s="16"/>
      <c r="CB3" s="17" t="s">
        <v>84</v>
      </c>
      <c r="CC3" s="18"/>
      <c r="CD3" s="16"/>
      <c r="CE3" s="13"/>
      <c r="CF3" s="13"/>
      <c r="CG3" s="13"/>
      <c r="CH3" s="16"/>
      <c r="CI3" s="17" t="s">
        <v>84</v>
      </c>
      <c r="CJ3" s="18"/>
      <c r="CK3" s="16"/>
      <c r="CL3" s="13"/>
      <c r="CM3" s="13"/>
      <c r="CN3" s="16"/>
      <c r="CO3" s="16"/>
      <c r="CP3" s="19" t="s">
        <v>84</v>
      </c>
      <c r="CQ3" s="14"/>
      <c r="CR3" s="16"/>
      <c r="CS3" s="13"/>
      <c r="CT3" s="13"/>
      <c r="CU3" s="16"/>
      <c r="CV3" s="16"/>
      <c r="CW3" s="19" t="s">
        <v>84</v>
      </c>
      <c r="CX3" s="14"/>
      <c r="CY3" s="16"/>
      <c r="CZ3" s="13"/>
      <c r="DA3" s="13"/>
      <c r="DB3" s="13"/>
      <c r="DC3" s="16"/>
      <c r="DD3" s="19" t="s">
        <v>84</v>
      </c>
      <c r="DE3" s="14"/>
      <c r="DF3" s="16"/>
      <c r="DG3" s="13"/>
      <c r="DH3" s="13"/>
      <c r="DI3" s="13"/>
      <c r="DJ3" s="16"/>
      <c r="DK3" s="19" t="s">
        <v>84</v>
      </c>
      <c r="DL3" s="14"/>
      <c r="DM3" s="16"/>
      <c r="DN3" s="13"/>
      <c r="DO3" s="13"/>
      <c r="DP3" s="13"/>
      <c r="DQ3" s="16"/>
      <c r="DR3" s="19" t="s">
        <v>84</v>
      </c>
      <c r="DS3" s="16"/>
      <c r="DT3" s="16"/>
      <c r="DU3" s="13"/>
      <c r="DV3" s="13"/>
      <c r="DW3" s="13"/>
      <c r="DX3" s="16"/>
      <c r="DY3" s="19" t="s">
        <v>84</v>
      </c>
      <c r="DZ3" s="16"/>
      <c r="EA3" s="16"/>
      <c r="EB3" s="13"/>
      <c r="EC3" s="13"/>
      <c r="ED3" s="13"/>
      <c r="EE3" s="16"/>
      <c r="EF3" s="19" t="s">
        <v>84</v>
      </c>
      <c r="EG3" s="16"/>
      <c r="EH3" s="16"/>
      <c r="EI3" s="13"/>
      <c r="EJ3" s="13"/>
      <c r="EK3" s="13"/>
      <c r="EL3" s="13"/>
      <c r="EM3" s="25" t="s">
        <v>84</v>
      </c>
      <c r="EN3" s="16"/>
      <c r="EO3" s="16"/>
      <c r="EP3" s="13"/>
      <c r="EQ3" s="13"/>
      <c r="ER3" s="13"/>
      <c r="ES3" s="13"/>
      <c r="ET3" s="27" t="s">
        <v>84</v>
      </c>
      <c r="EU3" s="28"/>
      <c r="EV3" s="16"/>
      <c r="EW3" s="28"/>
      <c r="EX3" s="28"/>
      <c r="EY3" s="28"/>
      <c r="EZ3" s="28"/>
      <c r="FA3" s="27" t="s">
        <v>84</v>
      </c>
      <c r="FB3" s="28"/>
      <c r="FC3" s="16"/>
      <c r="FD3" s="28"/>
      <c r="FE3" s="28"/>
      <c r="FF3" s="28"/>
      <c r="FG3" s="28"/>
      <c r="FH3" s="27" t="s">
        <v>84</v>
      </c>
      <c r="FI3" s="28"/>
      <c r="FJ3" s="16"/>
      <c r="FK3" s="28"/>
      <c r="FL3" s="28"/>
      <c r="FM3" s="28"/>
    </row>
    <row r="4">
      <c r="A4" s="1"/>
      <c r="B4" s="29"/>
      <c r="C4" s="30"/>
      <c r="D4" s="30"/>
      <c r="E4" s="30"/>
      <c r="F4" s="30"/>
      <c r="G4" s="30"/>
      <c r="H4" s="31" t="s">
        <v>160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1" t="s">
        <v>160</v>
      </c>
      <c r="AA4" s="30"/>
      <c r="AB4" s="30"/>
      <c r="AC4" s="30"/>
      <c r="AD4" s="30"/>
      <c r="AE4" s="30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1" t="s">
        <v>188</v>
      </c>
      <c r="CL4" s="33"/>
      <c r="CM4" s="33"/>
      <c r="CN4" s="33"/>
      <c r="CO4" s="36"/>
      <c r="CP4" s="36"/>
      <c r="CQ4" s="36"/>
      <c r="CR4" s="36"/>
      <c r="CS4" s="36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7"/>
      <c r="DE4" s="33"/>
      <c r="DF4" s="33"/>
      <c r="DG4" s="33"/>
      <c r="DH4" s="33"/>
      <c r="DI4" s="33"/>
      <c r="DJ4" s="33"/>
      <c r="DK4" s="37"/>
      <c r="DL4" s="33"/>
      <c r="DM4" s="33"/>
      <c r="DN4" s="33"/>
      <c r="DO4" s="33"/>
      <c r="DP4" s="33"/>
      <c r="DQ4" s="33"/>
      <c r="DR4" s="37"/>
      <c r="DS4" s="33"/>
      <c r="DT4" s="33"/>
      <c r="DU4" s="33"/>
      <c r="DV4" s="33"/>
      <c r="DW4" s="33"/>
      <c r="DX4" s="36"/>
      <c r="DY4" s="36"/>
      <c r="DZ4" s="36"/>
      <c r="EA4" s="36"/>
      <c r="EB4" s="36"/>
      <c r="EC4" s="33"/>
      <c r="ED4" s="33"/>
      <c r="EE4" s="33"/>
      <c r="EF4" s="37"/>
      <c r="EG4" s="33"/>
      <c r="EH4" s="33"/>
      <c r="EI4" s="33"/>
      <c r="EJ4" s="33"/>
      <c r="EK4" s="36"/>
      <c r="EL4" s="36"/>
      <c r="EM4" s="36"/>
      <c r="EN4" s="36"/>
      <c r="EO4" s="33"/>
      <c r="EP4" s="33"/>
      <c r="EQ4" s="33"/>
      <c r="ER4" s="33"/>
      <c r="ES4" s="33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</row>
    <row r="5">
      <c r="A5" s="1"/>
      <c r="B5" s="29"/>
      <c r="C5" s="30"/>
      <c r="D5" s="30">
        <v>46342.0</v>
      </c>
      <c r="E5" s="30">
        <v>46343.0</v>
      </c>
      <c r="F5" s="30">
        <v>46344.0</v>
      </c>
      <c r="G5" s="30">
        <v>46345.0</v>
      </c>
      <c r="H5" s="30">
        <v>46346.0</v>
      </c>
      <c r="I5" s="30">
        <v>45982.0</v>
      </c>
      <c r="J5" s="30">
        <v>45983.0</v>
      </c>
      <c r="K5" s="30">
        <v>45984.0</v>
      </c>
      <c r="L5" s="30">
        <v>45985.0</v>
      </c>
      <c r="M5" s="30">
        <v>45986.0</v>
      </c>
      <c r="N5" s="30">
        <v>45987.0</v>
      </c>
      <c r="O5" s="30">
        <v>45988.0</v>
      </c>
      <c r="P5" s="30">
        <v>45989.0</v>
      </c>
      <c r="Q5" s="30">
        <v>45990.0</v>
      </c>
      <c r="R5" s="30">
        <v>45991.0</v>
      </c>
      <c r="S5" s="30">
        <v>45992.0</v>
      </c>
      <c r="T5" s="30">
        <v>45993.0</v>
      </c>
      <c r="U5" s="30">
        <v>44533.0</v>
      </c>
      <c r="V5" s="30">
        <v>44169.0</v>
      </c>
      <c r="W5" s="30">
        <v>44170.0</v>
      </c>
      <c r="X5" s="30">
        <v>44171.0</v>
      </c>
      <c r="Y5" s="30">
        <v>44172.0</v>
      </c>
      <c r="Z5" s="30">
        <v>44173.0</v>
      </c>
      <c r="AA5" s="30">
        <v>44174.0</v>
      </c>
      <c r="AB5" s="30">
        <v>44175.0</v>
      </c>
      <c r="AC5" s="30">
        <v>44176.0</v>
      </c>
      <c r="AD5" s="30">
        <v>44177.0</v>
      </c>
      <c r="AE5" s="30">
        <v>44178.0</v>
      </c>
      <c r="AF5" s="33">
        <v>44179.0</v>
      </c>
      <c r="AG5" s="33">
        <v>44180.0</v>
      </c>
      <c r="AH5" s="33">
        <v>44181.0</v>
      </c>
      <c r="AI5" s="33">
        <v>44182.0</v>
      </c>
      <c r="AJ5" s="33">
        <v>44548.0</v>
      </c>
      <c r="AK5" s="33">
        <v>44184.0</v>
      </c>
      <c r="AL5" s="33">
        <v>44185.0</v>
      </c>
      <c r="AM5" s="33">
        <v>44186.0</v>
      </c>
      <c r="AN5" s="33">
        <v>44187.0</v>
      </c>
      <c r="AO5" s="33">
        <v>44188.0</v>
      </c>
      <c r="AP5" s="33">
        <v>44189.0</v>
      </c>
      <c r="AQ5" s="33">
        <v>44190.0</v>
      </c>
      <c r="AR5" s="33">
        <v>44191.0</v>
      </c>
      <c r="AS5" s="33">
        <v>44192.0</v>
      </c>
      <c r="AT5" s="33">
        <v>44193.0</v>
      </c>
      <c r="AU5" s="33">
        <v>44194.0</v>
      </c>
      <c r="AV5" s="33">
        <v>44195.0</v>
      </c>
      <c r="AW5" s="33">
        <v>44196.0</v>
      </c>
      <c r="AX5" s="33">
        <v>43831.0</v>
      </c>
      <c r="AY5" s="33">
        <v>43832.0</v>
      </c>
      <c r="AZ5" s="33">
        <v>43833.0</v>
      </c>
      <c r="BA5" s="33">
        <v>43834.0</v>
      </c>
      <c r="BB5" s="33">
        <v>43835.0</v>
      </c>
      <c r="BC5" s="33">
        <v>43836.0</v>
      </c>
      <c r="BD5" s="33">
        <v>43837.0</v>
      </c>
      <c r="BE5" s="33">
        <v>43838.0</v>
      </c>
      <c r="BF5" s="33">
        <v>43839.0</v>
      </c>
      <c r="BG5" s="33">
        <v>43840.0</v>
      </c>
      <c r="BH5" s="33">
        <v>43841.0</v>
      </c>
      <c r="BI5" s="33">
        <v>43842.0</v>
      </c>
      <c r="BJ5" s="33">
        <v>43843.0</v>
      </c>
      <c r="BK5" s="33">
        <v>43844.0</v>
      </c>
      <c r="BL5" s="33">
        <v>43845.0</v>
      </c>
      <c r="BM5" s="33">
        <v>43846.0</v>
      </c>
      <c r="BN5" s="33">
        <v>43847.0</v>
      </c>
      <c r="BO5" s="33">
        <v>43848.0</v>
      </c>
      <c r="BP5" s="33">
        <v>43849.0</v>
      </c>
      <c r="BQ5" s="33">
        <v>43850.0</v>
      </c>
      <c r="BR5" s="33">
        <v>43851.0</v>
      </c>
      <c r="BS5" s="33">
        <v>43852.0</v>
      </c>
      <c r="BT5" s="33">
        <v>43853.0</v>
      </c>
      <c r="BU5" s="33">
        <v>43854.0</v>
      </c>
      <c r="BV5" s="33">
        <v>43855.0</v>
      </c>
      <c r="BW5" s="33">
        <v>43856.0</v>
      </c>
      <c r="BX5" s="33">
        <v>43857.0</v>
      </c>
      <c r="BY5" s="33">
        <v>43858.0</v>
      </c>
      <c r="BZ5" s="33">
        <v>43859.0</v>
      </c>
      <c r="CA5" s="33">
        <v>43860.0</v>
      </c>
      <c r="CB5" s="33">
        <v>43861.0</v>
      </c>
      <c r="CC5" s="33">
        <v>43862.0</v>
      </c>
      <c r="CD5" s="33">
        <v>43863.0</v>
      </c>
      <c r="CE5" s="33">
        <v>43864.0</v>
      </c>
      <c r="CF5" s="33">
        <v>43865.0</v>
      </c>
      <c r="CG5" s="33">
        <v>43866.0</v>
      </c>
      <c r="CH5" s="33">
        <v>43867.0</v>
      </c>
      <c r="CI5" s="33">
        <v>43868.0</v>
      </c>
      <c r="CJ5" s="33">
        <v>43869.0</v>
      </c>
      <c r="CK5" s="33">
        <v>43870.0</v>
      </c>
      <c r="CL5" s="33">
        <v>43871.0</v>
      </c>
      <c r="CM5" s="33">
        <v>43872.0</v>
      </c>
      <c r="CN5" s="33">
        <v>43873.0</v>
      </c>
      <c r="CO5" s="33">
        <v>43874.0</v>
      </c>
      <c r="CP5" s="33">
        <v>43875.0</v>
      </c>
      <c r="CQ5" s="33">
        <v>43876.0</v>
      </c>
      <c r="CR5" s="33">
        <v>43877.0</v>
      </c>
      <c r="CS5" s="33">
        <v>43878.0</v>
      </c>
      <c r="CT5" s="33">
        <v>43879.0</v>
      </c>
      <c r="CU5" s="33">
        <v>43880.0</v>
      </c>
      <c r="CV5" s="33">
        <v>43881.0</v>
      </c>
      <c r="CW5" s="33">
        <v>43882.0</v>
      </c>
      <c r="CX5" s="33">
        <v>43883.0</v>
      </c>
      <c r="CY5" s="33">
        <v>43884.0</v>
      </c>
      <c r="CZ5" s="33">
        <v>43885.0</v>
      </c>
      <c r="DA5" s="33">
        <v>43886.0</v>
      </c>
      <c r="DB5" s="33">
        <v>43887.0</v>
      </c>
      <c r="DC5" s="33">
        <v>43888.0</v>
      </c>
      <c r="DD5" s="33">
        <v>43889.0</v>
      </c>
      <c r="DE5" s="33">
        <v>43891.0</v>
      </c>
      <c r="DF5" s="33">
        <v>43892.0</v>
      </c>
      <c r="DG5" s="33">
        <v>43893.0</v>
      </c>
      <c r="DH5" s="33">
        <v>43894.0</v>
      </c>
      <c r="DI5" s="33">
        <v>43895.0</v>
      </c>
      <c r="DJ5" s="33">
        <v>43896.0</v>
      </c>
      <c r="DK5" s="33">
        <v>44262.0</v>
      </c>
      <c r="DL5" s="33">
        <v>44263.0</v>
      </c>
      <c r="DM5" s="33">
        <v>44264.0</v>
      </c>
      <c r="DN5" s="33">
        <v>44265.0</v>
      </c>
      <c r="DO5" s="33">
        <v>44266.0</v>
      </c>
      <c r="DP5" s="33">
        <v>44267.0</v>
      </c>
      <c r="DQ5" s="33">
        <v>44268.0</v>
      </c>
      <c r="DR5" s="33">
        <v>44269.0</v>
      </c>
      <c r="DS5" s="33">
        <v>44270.0</v>
      </c>
      <c r="DT5" s="33">
        <v>44271.0</v>
      </c>
      <c r="DU5" s="33">
        <v>44272.0</v>
      </c>
      <c r="DV5" s="33">
        <v>44273.0</v>
      </c>
      <c r="DW5" s="33">
        <v>44274.0</v>
      </c>
      <c r="DX5" s="33">
        <v>44275.0</v>
      </c>
      <c r="DY5" s="33">
        <v>44276.0</v>
      </c>
      <c r="DZ5" s="33">
        <v>44277.0</v>
      </c>
      <c r="EA5" s="33">
        <v>44278.0</v>
      </c>
      <c r="EB5" s="33">
        <v>44279.0</v>
      </c>
      <c r="EC5" s="33">
        <v>44280.0</v>
      </c>
      <c r="ED5" s="33">
        <v>44281.0</v>
      </c>
      <c r="EE5" s="33">
        <v>44282.0</v>
      </c>
      <c r="EF5" s="33">
        <v>44283.0</v>
      </c>
      <c r="EG5" s="33">
        <v>44284.0</v>
      </c>
      <c r="EH5" s="33">
        <v>44285.0</v>
      </c>
      <c r="EI5" s="33">
        <v>44286.0</v>
      </c>
      <c r="EJ5" s="33">
        <v>44287.0</v>
      </c>
      <c r="EK5" s="33">
        <v>44288.0</v>
      </c>
      <c r="EL5" s="33">
        <v>44289.0</v>
      </c>
      <c r="EM5" s="33">
        <v>44290.0</v>
      </c>
      <c r="EN5" s="33">
        <v>44291.0</v>
      </c>
      <c r="EO5" s="33">
        <v>44292.0</v>
      </c>
      <c r="EP5" s="33">
        <v>44293.0</v>
      </c>
      <c r="EQ5" s="33">
        <v>44294.0</v>
      </c>
      <c r="ER5" s="33">
        <v>44295.0</v>
      </c>
      <c r="ES5" s="33">
        <v>44296.0</v>
      </c>
      <c r="ET5" s="33">
        <v>44297.0</v>
      </c>
      <c r="EU5" s="33">
        <v>44298.0</v>
      </c>
      <c r="EV5" s="33">
        <v>44299.0</v>
      </c>
      <c r="EW5" s="33">
        <v>44300.0</v>
      </c>
      <c r="EX5" s="33">
        <v>44301.0</v>
      </c>
      <c r="EY5" s="33">
        <v>44302.0</v>
      </c>
      <c r="EZ5" s="33">
        <v>44303.0</v>
      </c>
      <c r="FA5" s="33">
        <v>44304.0</v>
      </c>
      <c r="FB5" s="33">
        <v>44305.0</v>
      </c>
      <c r="FC5" s="33">
        <v>44306.0</v>
      </c>
      <c r="FD5" s="33">
        <v>44307.0</v>
      </c>
      <c r="FE5" s="33">
        <v>44308.0</v>
      </c>
      <c r="FF5" s="33">
        <v>44309.0</v>
      </c>
      <c r="FG5" s="33">
        <v>44310.0</v>
      </c>
      <c r="FH5" s="33">
        <v>44311.0</v>
      </c>
      <c r="FI5" s="33">
        <v>44312.0</v>
      </c>
      <c r="FJ5" s="33">
        <v>44313.0</v>
      </c>
      <c r="FK5" s="33">
        <v>44314.0</v>
      </c>
      <c r="FL5" s="33">
        <v>44315.0</v>
      </c>
      <c r="FM5" s="33">
        <v>44316.0</v>
      </c>
    </row>
    <row r="6">
      <c r="A6" s="41">
        <v>1.0</v>
      </c>
      <c r="B6" s="42" t="s">
        <v>249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5"/>
      <c r="X6" s="45"/>
      <c r="Y6" s="45"/>
      <c r="Z6" s="45"/>
      <c r="AA6" s="45"/>
      <c r="AB6" s="48"/>
      <c r="AC6" s="48"/>
      <c r="AD6" s="48"/>
      <c r="AE6" s="48"/>
      <c r="AF6" s="45"/>
      <c r="AG6" s="45"/>
      <c r="AH6" s="49"/>
      <c r="AI6" s="49"/>
      <c r="AS6" s="1" t="s">
        <v>265</v>
      </c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</row>
    <row r="7">
      <c r="A7" s="53">
        <v>2.0</v>
      </c>
      <c r="B7" s="55" t="s">
        <v>281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V7" s="1" t="s">
        <v>293</v>
      </c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</row>
    <row r="8">
      <c r="A8" s="41">
        <v>3.0</v>
      </c>
      <c r="B8" s="42" t="s">
        <v>249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Y8" s="60" t="s">
        <v>307</v>
      </c>
      <c r="BF8" s="1" t="s">
        <v>310</v>
      </c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</row>
    <row r="9">
      <c r="A9" s="53">
        <v>5.0</v>
      </c>
      <c r="B9" s="55" t="s">
        <v>314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T9" s="1" t="s">
        <v>319</v>
      </c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</row>
    <row r="10">
      <c r="A10" s="41">
        <v>6.0</v>
      </c>
      <c r="B10" s="42" t="s">
        <v>314</v>
      </c>
      <c r="C10" s="43"/>
      <c r="D10" s="43"/>
      <c r="E10" s="43"/>
      <c r="F10" s="43"/>
      <c r="G10" s="43"/>
      <c r="H10" s="43"/>
      <c r="I10" s="43"/>
      <c r="J10" s="59"/>
      <c r="K10" s="59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S10" s="1" t="s">
        <v>320</v>
      </c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8"/>
    </row>
    <row r="11">
      <c r="A11" s="53">
        <v>7.0</v>
      </c>
      <c r="B11" s="55" t="s">
        <v>281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S11" s="1" t="s">
        <v>321</v>
      </c>
      <c r="BB11" s="64" t="s">
        <v>322</v>
      </c>
      <c r="CC11" s="64" t="s">
        <v>323</v>
      </c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  <c r="FK11" s="58"/>
      <c r="FL11" s="58"/>
      <c r="FM11" s="58"/>
    </row>
    <row r="12">
      <c r="A12" s="41">
        <v>8.0</v>
      </c>
      <c r="B12" s="42" t="s">
        <v>281</v>
      </c>
      <c r="C12" s="62"/>
      <c r="D12" s="62"/>
      <c r="E12" s="62"/>
      <c r="F12" s="62"/>
      <c r="G12" s="62"/>
      <c r="H12" s="62"/>
      <c r="I12" s="62"/>
      <c r="J12" s="56"/>
      <c r="K12" s="56"/>
      <c r="L12" s="65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59"/>
      <c r="AJ12" s="59"/>
      <c r="AK12" s="59"/>
      <c r="AL12" s="43"/>
      <c r="AM12" s="43"/>
      <c r="AN12" s="43"/>
      <c r="AO12" s="59" t="s">
        <v>324</v>
      </c>
      <c r="AV12" s="64" t="s">
        <v>325</v>
      </c>
      <c r="CC12" s="1" t="s">
        <v>326</v>
      </c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8"/>
    </row>
    <row r="13">
      <c r="A13" s="53">
        <v>9.0</v>
      </c>
      <c r="B13" s="66" t="s">
        <v>281</v>
      </c>
      <c r="C13" s="62"/>
      <c r="D13" s="62"/>
      <c r="E13" s="62"/>
      <c r="F13" s="62"/>
      <c r="G13" s="62"/>
      <c r="H13" s="62"/>
      <c r="I13" s="62"/>
      <c r="J13" s="59"/>
      <c r="K13" s="59"/>
      <c r="L13" s="65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59"/>
      <c r="AJ13" s="59"/>
      <c r="AK13" s="59"/>
      <c r="AL13" s="43"/>
      <c r="AM13" s="43"/>
      <c r="AN13" s="43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8"/>
    </row>
    <row r="14">
      <c r="A14" s="41">
        <v>10.0</v>
      </c>
      <c r="B14" s="42" t="s">
        <v>281</v>
      </c>
      <c r="C14" s="62"/>
      <c r="D14" s="62"/>
      <c r="E14" s="62"/>
      <c r="F14" s="62"/>
      <c r="G14" s="62"/>
      <c r="H14" s="62"/>
      <c r="I14" s="62"/>
      <c r="J14" s="65"/>
      <c r="K14" s="65"/>
      <c r="L14" s="43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BE14" s="1" t="s">
        <v>327</v>
      </c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8"/>
    </row>
    <row r="15">
      <c r="A15" s="53">
        <v>11.0</v>
      </c>
      <c r="B15" s="55" t="s">
        <v>249</v>
      </c>
      <c r="C15" s="62"/>
      <c r="D15" s="62"/>
      <c r="E15" s="62"/>
      <c r="F15" s="62"/>
      <c r="G15" s="62"/>
      <c r="H15" s="62"/>
      <c r="I15" s="62"/>
      <c r="J15" s="65"/>
      <c r="K15" s="59"/>
      <c r="L15" s="43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8"/>
    </row>
    <row r="16">
      <c r="A16" s="41">
        <v>12.0</v>
      </c>
      <c r="B16" s="42" t="s">
        <v>249</v>
      </c>
      <c r="C16" s="59"/>
      <c r="D16" s="59"/>
      <c r="E16" s="59"/>
      <c r="F16" s="59"/>
      <c r="G16" s="59"/>
      <c r="H16" s="59"/>
      <c r="I16" s="59"/>
      <c r="J16" s="65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CQ16" s="1" t="s">
        <v>328</v>
      </c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</row>
    <row r="17" ht="18.75" customHeight="1">
      <c r="A17" s="53">
        <v>13.0</v>
      </c>
      <c r="B17" s="55" t="s">
        <v>249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</row>
    <row r="18" ht="16.5" customHeight="1">
      <c r="A18" s="41">
        <v>14.0</v>
      </c>
      <c r="B18" s="42" t="s">
        <v>249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</row>
    <row r="19">
      <c r="A19" s="53">
        <v>15.0</v>
      </c>
      <c r="B19" s="55" t="s">
        <v>249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</row>
    <row r="20" ht="18.0" customHeight="1">
      <c r="A20" s="41">
        <v>16.0</v>
      </c>
      <c r="B20" s="42" t="s">
        <v>281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V20" s="1" t="s">
        <v>329</v>
      </c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</row>
    <row r="21" ht="17.25" customHeight="1">
      <c r="A21" s="53">
        <v>17.0</v>
      </c>
      <c r="B21" s="53" t="s">
        <v>330</v>
      </c>
      <c r="C21" s="51"/>
      <c r="D21" s="51"/>
      <c r="E21" s="51"/>
      <c r="F21" s="51"/>
      <c r="G21" s="51"/>
      <c r="H21" s="51"/>
      <c r="I21" s="51"/>
      <c r="J21" s="51"/>
      <c r="K21" s="51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59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59" t="s">
        <v>331</v>
      </c>
      <c r="BE21" s="1" t="s">
        <v>332</v>
      </c>
      <c r="CC21" s="1" t="s">
        <v>333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</row>
    <row r="22">
      <c r="A22" s="41">
        <v>18.0</v>
      </c>
      <c r="B22" s="41" t="s">
        <v>314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65"/>
      <c r="N22" s="65"/>
      <c r="O22" s="65"/>
      <c r="P22" s="65"/>
      <c r="Q22" s="65"/>
      <c r="R22" s="65"/>
      <c r="S22" s="65"/>
      <c r="T22" s="65"/>
      <c r="U22" s="65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60" t="s">
        <v>324</v>
      </c>
      <c r="BA22" s="1" t="s">
        <v>334</v>
      </c>
      <c r="CC22" s="1" t="s">
        <v>335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</row>
    <row r="23">
      <c r="A23" s="53">
        <v>19.0</v>
      </c>
      <c r="B23" s="53" t="s">
        <v>281</v>
      </c>
      <c r="C23" s="65"/>
      <c r="D23" s="65"/>
      <c r="E23" s="65"/>
      <c r="F23" s="65"/>
      <c r="G23" s="65"/>
      <c r="H23" s="65"/>
      <c r="I23" s="65"/>
      <c r="J23" s="65"/>
      <c r="K23" s="51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V23" s="1" t="s">
        <v>336</v>
      </c>
      <c r="BA23" s="1" t="s">
        <v>337</v>
      </c>
      <c r="BG23" s="1" t="s">
        <v>338</v>
      </c>
      <c r="CN23" s="1" t="s">
        <v>339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</row>
    <row r="24">
      <c r="A24" s="41">
        <v>21.0</v>
      </c>
      <c r="B24" s="41" t="s">
        <v>281</v>
      </c>
      <c r="C24" s="51"/>
      <c r="D24" s="51"/>
      <c r="E24" s="51"/>
      <c r="F24" s="51"/>
      <c r="G24" s="51"/>
      <c r="H24" s="51"/>
      <c r="I24" s="51"/>
      <c r="J24" s="51"/>
      <c r="K24" s="51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59" t="s">
        <v>340</v>
      </c>
      <c r="AU24" s="64" t="s">
        <v>341</v>
      </c>
      <c r="BE24" s="64" t="s">
        <v>342</v>
      </c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1" t="s">
        <v>343</v>
      </c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</row>
    <row r="25">
      <c r="A25" s="53">
        <v>22.0</v>
      </c>
      <c r="B25" s="53" t="s">
        <v>249</v>
      </c>
      <c r="C25" s="65"/>
      <c r="D25" s="65"/>
      <c r="E25" s="65"/>
      <c r="F25" s="65"/>
      <c r="G25" s="65"/>
      <c r="H25" s="65"/>
      <c r="I25" s="65"/>
      <c r="J25" s="51"/>
      <c r="K25" s="51"/>
      <c r="L25" s="51"/>
      <c r="M25" s="65"/>
      <c r="N25" s="65"/>
      <c r="O25" s="65"/>
      <c r="P25" s="65"/>
      <c r="Q25" s="65"/>
      <c r="R25" s="65"/>
      <c r="S25" s="65"/>
      <c r="T25" s="65"/>
      <c r="U25" s="65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59" t="s">
        <v>344</v>
      </c>
      <c r="BC25" s="43"/>
      <c r="BD25" s="43"/>
      <c r="BE25" s="43"/>
      <c r="BF25" s="43"/>
      <c r="BG25" s="43"/>
      <c r="BH25" s="68" t="s">
        <v>345</v>
      </c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T25" s="1"/>
      <c r="DU25" s="1"/>
      <c r="DV25" s="1"/>
      <c r="DW25" s="51"/>
      <c r="EB25" s="1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</row>
    <row r="26">
      <c r="A26" s="41">
        <v>23.0</v>
      </c>
      <c r="B26" s="41" t="s">
        <v>281</v>
      </c>
      <c r="C26" s="65"/>
      <c r="D26" s="65"/>
      <c r="E26" s="65"/>
      <c r="F26" s="65"/>
      <c r="G26" s="65"/>
      <c r="H26" s="65"/>
      <c r="I26" s="65"/>
      <c r="J26" s="51"/>
      <c r="K26" s="51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Q26" s="1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</row>
    <row r="27">
      <c r="A27" s="53">
        <v>24.0</v>
      </c>
      <c r="B27" s="53" t="s">
        <v>281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59"/>
      <c r="AJ27" s="59"/>
      <c r="AK27" s="59"/>
      <c r="AL27" s="43"/>
      <c r="AM27" s="43"/>
      <c r="AN27" s="43"/>
      <c r="AO27" s="43"/>
      <c r="AR27" s="59" t="s">
        <v>346</v>
      </c>
      <c r="AY27" s="59" t="s">
        <v>347</v>
      </c>
      <c r="BK27" s="59" t="s">
        <v>348</v>
      </c>
      <c r="BP27" s="59" t="s">
        <v>349</v>
      </c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64" t="s">
        <v>350</v>
      </c>
      <c r="DE27" s="43"/>
      <c r="DF27" s="43"/>
      <c r="DG27" s="43"/>
      <c r="DH27" s="43"/>
      <c r="DI27" s="43"/>
      <c r="DJ27" s="43"/>
      <c r="DK27" s="43"/>
      <c r="DL27" s="43"/>
      <c r="DM27" s="43"/>
      <c r="DT27" s="51"/>
      <c r="DU27" s="51"/>
      <c r="DV27" s="51"/>
      <c r="DW27" s="51"/>
      <c r="DX27" s="51"/>
      <c r="DY27" s="51"/>
      <c r="DZ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2"/>
      <c r="EU27" s="52"/>
      <c r="EV27" s="52"/>
      <c r="EW27" s="52"/>
      <c r="EX27" s="52"/>
      <c r="EY27" s="58"/>
      <c r="EZ27" s="58"/>
      <c r="FA27" s="58"/>
      <c r="FB27" s="58"/>
      <c r="FC27" s="58"/>
      <c r="FD27" s="52"/>
      <c r="FE27" s="52"/>
      <c r="FF27" s="52"/>
      <c r="FG27" s="52"/>
      <c r="FH27" s="52"/>
      <c r="FI27" s="52"/>
      <c r="FJ27" s="52"/>
      <c r="FK27" s="52"/>
      <c r="FL27" s="52"/>
      <c r="FM27" s="52"/>
    </row>
    <row r="28">
      <c r="A28" s="41">
        <v>25.0</v>
      </c>
      <c r="B28" s="41" t="s">
        <v>281</v>
      </c>
      <c r="C28" s="65"/>
      <c r="D28" s="65"/>
      <c r="E28" s="65"/>
      <c r="F28" s="65"/>
      <c r="G28" s="65"/>
      <c r="H28" s="65"/>
      <c r="I28" s="65"/>
      <c r="J28" s="51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51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59" t="s">
        <v>351</v>
      </c>
      <c r="AR28" s="43"/>
      <c r="AS28" s="43"/>
      <c r="AT28" s="43"/>
      <c r="AU28" s="43"/>
      <c r="AV28" s="43"/>
      <c r="AW28" s="43"/>
      <c r="AX28" s="43"/>
      <c r="AY28" s="43"/>
      <c r="AZ28" s="43"/>
      <c r="BA28" s="59" t="s">
        <v>352</v>
      </c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60" t="s">
        <v>353</v>
      </c>
      <c r="DE28" s="43"/>
      <c r="DF28" s="43"/>
      <c r="DG28" s="43"/>
      <c r="DH28" s="43"/>
      <c r="DI28" s="43"/>
      <c r="DJ28" s="43"/>
      <c r="DK28" s="43"/>
      <c r="DL28" s="43"/>
      <c r="DM28" s="43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8"/>
    </row>
    <row r="29">
      <c r="A29" s="53">
        <v>26.0</v>
      </c>
      <c r="B29" s="53" t="s">
        <v>281</v>
      </c>
      <c r="C29" s="51"/>
      <c r="D29" s="51"/>
      <c r="E29" s="51"/>
      <c r="F29" s="51"/>
      <c r="G29" s="51"/>
      <c r="H29" s="51"/>
      <c r="I29" s="51"/>
      <c r="J29" s="51"/>
      <c r="K29" s="51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51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59" t="s">
        <v>354</v>
      </c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8"/>
    </row>
    <row r="30">
      <c r="A30" s="41">
        <v>27.0</v>
      </c>
      <c r="B30" s="41" t="s">
        <v>281</v>
      </c>
      <c r="C30" s="51"/>
      <c r="D30" s="51"/>
      <c r="E30" s="51"/>
      <c r="F30" s="51"/>
      <c r="G30" s="51"/>
      <c r="H30" s="51"/>
      <c r="I30" s="51"/>
      <c r="J30" s="51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51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59" t="s">
        <v>355</v>
      </c>
      <c r="BF30" s="1" t="s">
        <v>356</v>
      </c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T30" s="51"/>
      <c r="DU30" s="51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</row>
    <row r="31">
      <c r="A31" s="53">
        <v>28.0</v>
      </c>
      <c r="B31" s="53" t="s">
        <v>249</v>
      </c>
      <c r="C31" s="65"/>
      <c r="D31" s="65"/>
      <c r="E31" s="65"/>
      <c r="F31" s="65"/>
      <c r="G31" s="65"/>
      <c r="H31" s="65"/>
      <c r="I31" s="65"/>
      <c r="J31" s="51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51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P31" s="59" t="s">
        <v>357</v>
      </c>
      <c r="AY31" s="59" t="s">
        <v>358</v>
      </c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59" t="s">
        <v>359</v>
      </c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8"/>
    </row>
    <row r="32">
      <c r="A32" s="41">
        <v>29.0</v>
      </c>
      <c r="B32" s="41" t="s">
        <v>281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59" t="s">
        <v>360</v>
      </c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59" t="s">
        <v>361</v>
      </c>
      <c r="CP32" s="43"/>
      <c r="CQ32" s="70" t="s">
        <v>362</v>
      </c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8"/>
    </row>
    <row r="33" ht="17.25" customHeight="1">
      <c r="A33" s="53">
        <v>30.0</v>
      </c>
      <c r="B33" s="53" t="s">
        <v>281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51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Y33" s="43"/>
      <c r="AZ33" s="43"/>
      <c r="BA33" s="43"/>
      <c r="BB33" s="59" t="s">
        <v>363</v>
      </c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  <c r="FK33" s="58"/>
      <c r="FL33" s="58"/>
      <c r="FM33" s="58"/>
    </row>
    <row r="34">
      <c r="A34" s="41">
        <v>31.0</v>
      </c>
      <c r="B34" s="41" t="s">
        <v>364</v>
      </c>
      <c r="C34" s="51"/>
      <c r="D34" s="51"/>
      <c r="E34" s="51"/>
      <c r="F34" s="51"/>
      <c r="G34" s="51"/>
      <c r="H34" s="51"/>
      <c r="I34" s="65"/>
      <c r="J34" s="65"/>
      <c r="K34" s="65"/>
      <c r="L34" s="65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59" t="s">
        <v>365</v>
      </c>
      <c r="BI34" s="43"/>
      <c r="BJ34" s="43"/>
      <c r="BK34" s="43"/>
      <c r="BL34" s="43"/>
      <c r="BM34" s="43"/>
      <c r="BN34" s="59" t="s">
        <v>366</v>
      </c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59" t="s">
        <v>367</v>
      </c>
      <c r="DF34" s="43"/>
      <c r="DG34" s="43"/>
      <c r="DH34" s="43"/>
      <c r="DI34" s="43"/>
      <c r="DJ34" s="43"/>
      <c r="DK34" s="43"/>
      <c r="DL34" s="43"/>
      <c r="DM34" s="43"/>
      <c r="DT34" s="51"/>
      <c r="DU34" s="51"/>
      <c r="DV34" s="51"/>
      <c r="DW34" s="1"/>
      <c r="ED34" s="1"/>
      <c r="EE34" s="1"/>
      <c r="EF34" s="1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8"/>
    </row>
    <row r="35">
      <c r="A35" s="53">
        <v>32.0</v>
      </c>
      <c r="B35" s="53" t="s">
        <v>364</v>
      </c>
      <c r="C35" s="51"/>
      <c r="D35" s="51"/>
      <c r="E35" s="51"/>
      <c r="F35" s="51"/>
      <c r="G35" s="51"/>
      <c r="H35" s="51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51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59" t="s">
        <v>368</v>
      </c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59" t="s">
        <v>369</v>
      </c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T35" s="51"/>
      <c r="DU35" s="51"/>
      <c r="DV35" s="51"/>
      <c r="DW35" s="51"/>
      <c r="DX35" s="51"/>
      <c r="ED35" s="1"/>
      <c r="EE35" s="1"/>
      <c r="EF35" s="1"/>
      <c r="EG35" s="1"/>
      <c r="EH35" s="1"/>
      <c r="EI35" s="1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  <c r="FK35" s="58"/>
      <c r="FL35" s="58"/>
      <c r="FM35" s="58"/>
    </row>
    <row r="36">
      <c r="A36" s="41">
        <v>33.0</v>
      </c>
      <c r="B36" s="41" t="s">
        <v>249</v>
      </c>
      <c r="C36" s="51"/>
      <c r="D36" s="51"/>
      <c r="E36" s="51"/>
      <c r="F36" s="51"/>
      <c r="G36" s="51"/>
      <c r="H36" s="51"/>
      <c r="I36" s="65"/>
      <c r="J36" s="65"/>
      <c r="K36" s="65"/>
      <c r="L36" s="65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59"/>
      <c r="AT36" s="59"/>
      <c r="AU36" s="59"/>
      <c r="AV36" s="59"/>
      <c r="AW36" s="59"/>
      <c r="AX36" s="59"/>
      <c r="AY36" s="59"/>
      <c r="AZ36" s="59" t="s">
        <v>370</v>
      </c>
      <c r="BT36" s="59" t="s">
        <v>371</v>
      </c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8"/>
    </row>
    <row r="37">
      <c r="A37" s="53">
        <v>34.0</v>
      </c>
      <c r="B37" s="53" t="s">
        <v>281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51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T37" s="59" t="s">
        <v>372</v>
      </c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  <c r="FK37" s="58"/>
      <c r="FL37" s="58"/>
      <c r="FM37" s="58"/>
    </row>
    <row r="38">
      <c r="A38" s="41">
        <v>35.0</v>
      </c>
      <c r="B38" s="41" t="s">
        <v>249</v>
      </c>
      <c r="C38" s="51"/>
      <c r="D38" s="51"/>
      <c r="E38" s="51"/>
      <c r="F38" s="51"/>
      <c r="G38" s="51"/>
      <c r="H38" s="51"/>
      <c r="I38" s="51"/>
      <c r="J38" s="51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51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59" t="s">
        <v>373</v>
      </c>
      <c r="BC38" s="59" t="s">
        <v>374</v>
      </c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T38" s="51"/>
      <c r="DU38" s="51"/>
      <c r="DV38" s="51"/>
      <c r="DW38" s="51"/>
      <c r="DX38" s="51"/>
      <c r="DY38" s="51"/>
      <c r="EJ38" s="51"/>
      <c r="EK38" s="51"/>
      <c r="EL38" s="51"/>
      <c r="EM38" s="51"/>
      <c r="EN38" s="51"/>
      <c r="EO38" s="51"/>
      <c r="EP38" s="51"/>
      <c r="EQ38" s="51"/>
      <c r="ER38" s="51"/>
      <c r="ES38" s="51"/>
      <c r="ET38" s="52"/>
      <c r="EU38" s="52"/>
      <c r="EV38" s="52"/>
      <c r="EW38" s="52"/>
      <c r="EX38" s="52"/>
      <c r="EY38" s="58"/>
      <c r="EZ38" s="58"/>
      <c r="FA38" s="58"/>
      <c r="FB38" s="58"/>
      <c r="FC38" s="58"/>
      <c r="FD38" s="52"/>
      <c r="FE38" s="52"/>
      <c r="FF38" s="52"/>
      <c r="FG38" s="52"/>
      <c r="FH38" s="52"/>
      <c r="FI38" s="52"/>
      <c r="FJ38" s="52"/>
      <c r="FK38" s="52"/>
      <c r="FL38" s="52"/>
      <c r="FM38" s="52"/>
    </row>
    <row r="39">
      <c r="A39" s="53">
        <v>36.0</v>
      </c>
      <c r="B39" s="53" t="s">
        <v>281</v>
      </c>
      <c r="C39" s="51"/>
      <c r="D39" s="51"/>
      <c r="E39" s="51"/>
      <c r="F39" s="51"/>
      <c r="G39" s="51"/>
      <c r="H39" s="51"/>
      <c r="I39" s="51"/>
      <c r="J39" s="51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51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J39" s="51"/>
      <c r="EK39" s="51"/>
      <c r="EL39" s="51"/>
      <c r="EM39" s="51"/>
      <c r="EN39" s="51"/>
      <c r="EO39" s="51"/>
      <c r="EP39" s="51"/>
      <c r="EQ39" s="51"/>
      <c r="ER39" s="51"/>
      <c r="ES39" s="51"/>
      <c r="ET39" s="52"/>
      <c r="EU39" s="52"/>
      <c r="EV39" s="52"/>
      <c r="EW39" s="52"/>
      <c r="EX39" s="52"/>
      <c r="EY39" s="58"/>
      <c r="EZ39" s="58"/>
      <c r="FA39" s="58"/>
      <c r="FB39" s="58"/>
      <c r="FC39" s="58"/>
      <c r="FD39" s="52"/>
      <c r="FE39" s="52"/>
      <c r="FF39" s="52"/>
      <c r="FG39" s="52"/>
      <c r="FH39" s="52"/>
      <c r="FI39" s="52"/>
      <c r="FJ39" s="52"/>
      <c r="FK39" s="52"/>
      <c r="FL39" s="52"/>
      <c r="FM39" s="52"/>
    </row>
    <row r="40">
      <c r="A40" s="71" t="s">
        <v>375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72" t="s">
        <v>376</v>
      </c>
      <c r="AX40" s="72" t="s">
        <v>377</v>
      </c>
      <c r="CC40" s="72" t="s">
        <v>378</v>
      </c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8"/>
    </row>
    <row r="41">
      <c r="A41" s="73" t="s">
        <v>379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74"/>
      <c r="AA41" s="74"/>
      <c r="AB41" s="74"/>
      <c r="AC41" s="74"/>
      <c r="AD41" s="74"/>
      <c r="AE41" s="74"/>
      <c r="AF41" s="74"/>
      <c r="AG41" s="74"/>
      <c r="AH41" s="51"/>
      <c r="AI41" s="51"/>
      <c r="AJ41" s="51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60" t="s">
        <v>380</v>
      </c>
      <c r="CC41" s="60" t="s">
        <v>381</v>
      </c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  <c r="FK41" s="58"/>
      <c r="FL41" s="58"/>
      <c r="FM41" s="58"/>
    </row>
    <row r="42">
      <c r="A42" s="75" t="s">
        <v>382</v>
      </c>
      <c r="B42" s="76"/>
      <c r="C42" s="51"/>
      <c r="D42" s="77" t="s">
        <v>383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78" t="s">
        <v>384</v>
      </c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  <c r="FK42" s="58"/>
      <c r="FL42" s="58"/>
      <c r="FM42" s="58"/>
    </row>
    <row r="43">
      <c r="A43" s="73" t="s">
        <v>385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79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60" t="s">
        <v>386</v>
      </c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60" t="s">
        <v>387</v>
      </c>
      <c r="CC43" s="60" t="s">
        <v>388</v>
      </c>
      <c r="CJ43" s="60" t="s">
        <v>389</v>
      </c>
      <c r="CQ43" s="60" t="s">
        <v>390</v>
      </c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60" t="s">
        <v>391</v>
      </c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T43" s="58"/>
      <c r="EU43" s="58"/>
      <c r="EV43" s="58"/>
      <c r="EW43" s="58"/>
      <c r="EX43" s="80"/>
      <c r="EY43" s="58"/>
      <c r="EZ43" s="58"/>
      <c r="FA43" s="58"/>
      <c r="FB43" s="58"/>
      <c r="FC43" s="58"/>
      <c r="FD43" s="80"/>
      <c r="FE43" s="58"/>
      <c r="FF43" s="58"/>
      <c r="FG43" s="58"/>
      <c r="FH43" s="58"/>
      <c r="FI43" s="58"/>
      <c r="FJ43" s="58"/>
      <c r="FK43" s="58"/>
      <c r="FL43" s="58"/>
      <c r="FM43" s="58"/>
    </row>
    <row r="44"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  <c r="FK44" s="58"/>
      <c r="FL44" s="58"/>
      <c r="FM44" s="58"/>
    </row>
    <row r="45"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8"/>
    </row>
    <row r="46"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8"/>
    </row>
    <row r="47"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8"/>
    </row>
    <row r="48"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</row>
    <row r="49"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DC49" s="51"/>
      <c r="DD49" s="51"/>
      <c r="DE49" s="51"/>
      <c r="DF49" s="51"/>
      <c r="DG49" s="51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/>
      <c r="FL49" s="58"/>
      <c r="FM49" s="58"/>
    </row>
    <row r="50"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</row>
    <row r="51">
      <c r="DD51" s="1"/>
      <c r="DE51" s="1"/>
      <c r="DF51" s="1"/>
      <c r="DG51" s="1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  <c r="FK51" s="58"/>
      <c r="FL51" s="58"/>
      <c r="FM51" s="58"/>
    </row>
    <row r="52"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  <c r="FK52" s="58"/>
      <c r="FL52" s="58"/>
      <c r="FM52" s="58"/>
    </row>
    <row r="53">
      <c r="AP53" s="1"/>
      <c r="AQ53" s="1"/>
      <c r="AR53" s="1"/>
      <c r="AS53" s="1"/>
      <c r="AT53" s="1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  <c r="FK53" s="58"/>
      <c r="FL53" s="58"/>
      <c r="FM53" s="58"/>
    </row>
    <row r="54"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</row>
    <row r="55">
      <c r="CP55" s="1" t="s">
        <v>27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</row>
    <row r="56"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</row>
    <row r="57"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</row>
    <row r="58"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</row>
    <row r="59"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</row>
    <row r="60"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</row>
    <row r="61"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</row>
    <row r="62"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</row>
    <row r="63"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</row>
    <row r="64"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</row>
    <row r="65"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</row>
    <row r="66"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</row>
    <row r="67"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</row>
    <row r="68"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</row>
    <row r="69"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</row>
    <row r="70"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</row>
    <row r="71"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</row>
    <row r="72"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</row>
    <row r="73"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</row>
    <row r="74"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</row>
    <row r="75"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</row>
    <row r="76"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</row>
    <row r="77"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</row>
    <row r="78"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</row>
    <row r="79"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</row>
    <row r="80"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</row>
    <row r="81"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</row>
    <row r="82"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</row>
    <row r="83"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</row>
    <row r="84"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</row>
    <row r="85"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</row>
    <row r="86"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</row>
    <row r="87"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</row>
    <row r="88"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  <c r="FK88" s="58"/>
      <c r="FL88" s="58"/>
      <c r="FM88" s="58"/>
    </row>
    <row r="89"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  <c r="FK89" s="58"/>
      <c r="FL89" s="58"/>
      <c r="FM89" s="58"/>
    </row>
    <row r="90"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  <c r="FK90" s="58"/>
      <c r="FL90" s="58"/>
      <c r="FM90" s="58"/>
    </row>
    <row r="91"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  <c r="FK91" s="58"/>
      <c r="FL91" s="58"/>
      <c r="FM91" s="58"/>
    </row>
    <row r="92"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  <c r="FK92" s="58"/>
      <c r="FL92" s="58"/>
      <c r="FM92" s="58"/>
    </row>
    <row r="93"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  <c r="FK93" s="58"/>
      <c r="FL93" s="58"/>
      <c r="FM93" s="58"/>
    </row>
    <row r="94"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  <c r="FK94" s="58"/>
      <c r="FL94" s="58"/>
      <c r="FM94" s="58"/>
    </row>
    <row r="95"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  <c r="FK95" s="58"/>
      <c r="FL95" s="58"/>
      <c r="FM95" s="58"/>
    </row>
    <row r="96"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  <c r="FK96" s="58"/>
      <c r="FL96" s="58"/>
      <c r="FM96" s="58"/>
    </row>
    <row r="97"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  <c r="FK97" s="58"/>
      <c r="FL97" s="58"/>
      <c r="FM97" s="58"/>
    </row>
    <row r="98"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  <c r="FK98" s="58"/>
      <c r="FL98" s="58"/>
      <c r="FM98" s="58"/>
    </row>
    <row r="99"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  <c r="FK99" s="58"/>
      <c r="FL99" s="58"/>
      <c r="FM99" s="58"/>
    </row>
    <row r="100"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  <c r="FK100" s="58"/>
      <c r="FL100" s="58"/>
      <c r="FM100" s="58"/>
    </row>
    <row r="101"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  <c r="FI101" s="58"/>
      <c r="FJ101" s="58"/>
      <c r="FK101" s="58"/>
      <c r="FL101" s="58"/>
      <c r="FM101" s="58"/>
    </row>
    <row r="102"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/>
      <c r="FL102" s="58"/>
      <c r="FM102" s="58"/>
    </row>
    <row r="103"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</row>
    <row r="104">
      <c r="ET104" s="58"/>
      <c r="EU104" s="58"/>
      <c r="EV104" s="58"/>
      <c r="EW104" s="58"/>
      <c r="EX104" s="58"/>
      <c r="EY104" s="58"/>
      <c r="EZ104" s="58"/>
      <c r="FA104" s="58"/>
      <c r="FB104" s="58"/>
      <c r="FC104" s="58"/>
      <c r="FD104" s="58"/>
      <c r="FE104" s="58"/>
      <c r="FF104" s="58"/>
      <c r="FG104" s="58"/>
      <c r="FH104" s="58"/>
      <c r="FI104" s="58"/>
      <c r="FJ104" s="58"/>
      <c r="FK104" s="58"/>
      <c r="FL104" s="58"/>
      <c r="FM104" s="58"/>
    </row>
    <row r="105"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  <c r="FI105" s="58"/>
      <c r="FJ105" s="58"/>
      <c r="FK105" s="58"/>
      <c r="FL105" s="58"/>
      <c r="FM105" s="58"/>
    </row>
    <row r="106"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  <c r="FI106" s="58"/>
      <c r="FJ106" s="58"/>
      <c r="FK106" s="58"/>
      <c r="FL106" s="58"/>
      <c r="FM106" s="58"/>
    </row>
    <row r="107"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8"/>
      <c r="FE107" s="58"/>
      <c r="FF107" s="58"/>
      <c r="FG107" s="58"/>
      <c r="FH107" s="58"/>
      <c r="FI107" s="58"/>
      <c r="FJ107" s="58"/>
      <c r="FK107" s="58"/>
      <c r="FL107" s="58"/>
      <c r="FM107" s="58"/>
    </row>
    <row r="108"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/>
      <c r="FE108" s="58"/>
      <c r="FF108" s="58"/>
      <c r="FG108" s="58"/>
      <c r="FH108" s="58"/>
      <c r="FI108" s="58"/>
      <c r="FJ108" s="58"/>
      <c r="FK108" s="58"/>
      <c r="FL108" s="58"/>
      <c r="FM108" s="58"/>
    </row>
    <row r="109"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  <c r="FI109" s="58"/>
      <c r="FJ109" s="58"/>
      <c r="FK109" s="58"/>
      <c r="FL109" s="58"/>
      <c r="FM109" s="58"/>
    </row>
    <row r="110"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  <c r="FI110" s="58"/>
      <c r="FJ110" s="58"/>
      <c r="FK110" s="58"/>
      <c r="FL110" s="58"/>
      <c r="FM110" s="58"/>
    </row>
    <row r="111"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8"/>
      <c r="FE111" s="58"/>
      <c r="FF111" s="58"/>
      <c r="FG111" s="58"/>
      <c r="FH111" s="58"/>
      <c r="FI111" s="58"/>
      <c r="FJ111" s="58"/>
      <c r="FK111" s="58"/>
      <c r="FL111" s="58"/>
      <c r="FM111" s="58"/>
    </row>
    <row r="112"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  <c r="FI112" s="58"/>
      <c r="FJ112" s="58"/>
      <c r="FK112" s="58"/>
      <c r="FL112" s="58"/>
      <c r="FM112" s="58"/>
    </row>
    <row r="113"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  <c r="FI113" s="58"/>
      <c r="FJ113" s="58"/>
      <c r="FK113" s="58"/>
      <c r="FL113" s="58"/>
      <c r="FM113" s="58"/>
    </row>
    <row r="114"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  <c r="FI114" s="58"/>
      <c r="FJ114" s="58"/>
      <c r="FK114" s="58"/>
      <c r="FL114" s="58"/>
      <c r="FM114" s="58"/>
    </row>
    <row r="115"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  <c r="FI115" s="58"/>
      <c r="FJ115" s="58"/>
      <c r="FK115" s="58"/>
      <c r="FL115" s="58"/>
      <c r="FM115" s="58"/>
    </row>
    <row r="116"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  <c r="FI116" s="58"/>
      <c r="FJ116" s="58"/>
      <c r="FK116" s="58"/>
      <c r="FL116" s="58"/>
      <c r="FM116" s="58"/>
    </row>
    <row r="117"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  <c r="FI117" s="58"/>
      <c r="FJ117" s="58"/>
      <c r="FK117" s="58"/>
      <c r="FL117" s="58"/>
      <c r="FM117" s="58"/>
    </row>
    <row r="118"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  <c r="FI118" s="58"/>
      <c r="FJ118" s="58"/>
      <c r="FK118" s="58"/>
      <c r="FL118" s="58"/>
      <c r="FM118" s="58"/>
    </row>
    <row r="119"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8"/>
      <c r="FE119" s="58"/>
      <c r="FF119" s="58"/>
      <c r="FG119" s="58"/>
      <c r="FH119" s="58"/>
      <c r="FI119" s="58"/>
      <c r="FJ119" s="58"/>
      <c r="FK119" s="58"/>
      <c r="FL119" s="58"/>
      <c r="FM119" s="58"/>
    </row>
    <row r="120"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8"/>
    </row>
    <row r="121"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</row>
    <row r="122"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/>
      <c r="FI122" s="58"/>
      <c r="FJ122" s="58"/>
      <c r="FK122" s="58"/>
      <c r="FL122" s="58"/>
      <c r="FM122" s="58"/>
    </row>
    <row r="123"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8"/>
    </row>
    <row r="124"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58"/>
      <c r="FF124" s="58"/>
      <c r="FG124" s="58"/>
      <c r="FH124" s="58"/>
      <c r="FI124" s="58"/>
      <c r="FJ124" s="58"/>
      <c r="FK124" s="58"/>
      <c r="FL124" s="58"/>
      <c r="FM124" s="58"/>
    </row>
    <row r="125"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8"/>
    </row>
    <row r="126"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8"/>
    </row>
    <row r="127"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</row>
    <row r="128"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/>
      <c r="FI128" s="58"/>
      <c r="FJ128" s="58"/>
      <c r="FK128" s="58"/>
      <c r="FL128" s="58"/>
      <c r="FM128" s="58"/>
    </row>
    <row r="129"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8"/>
      <c r="FE129" s="58"/>
      <c r="FF129" s="58"/>
      <c r="FG129" s="58"/>
      <c r="FH129" s="58"/>
      <c r="FI129" s="58"/>
      <c r="FJ129" s="58"/>
      <c r="FK129" s="58"/>
      <c r="FL129" s="58"/>
      <c r="FM129" s="58"/>
    </row>
    <row r="130"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  <c r="FI130" s="58"/>
      <c r="FJ130" s="58"/>
      <c r="FK130" s="58"/>
      <c r="FL130" s="58"/>
      <c r="FM130" s="58"/>
    </row>
    <row r="131"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  <c r="FI131" s="58"/>
      <c r="FJ131" s="58"/>
      <c r="FK131" s="58"/>
      <c r="FL131" s="58"/>
      <c r="FM131" s="58"/>
    </row>
    <row r="132"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8"/>
    </row>
    <row r="133"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8"/>
    </row>
    <row r="134"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/>
      <c r="FE134" s="58"/>
      <c r="FF134" s="58"/>
      <c r="FG134" s="58"/>
      <c r="FH134" s="58"/>
      <c r="FI134" s="58"/>
      <c r="FJ134" s="58"/>
      <c r="FK134" s="58"/>
      <c r="FL134" s="58"/>
      <c r="FM134" s="58"/>
    </row>
    <row r="135"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58"/>
      <c r="FF135" s="58"/>
      <c r="FG135" s="58"/>
      <c r="FH135" s="58"/>
      <c r="FI135" s="58"/>
      <c r="FJ135" s="58"/>
      <c r="FK135" s="58"/>
      <c r="FL135" s="58"/>
      <c r="FM135" s="58"/>
    </row>
    <row r="136"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/>
      <c r="FI136" s="58"/>
      <c r="FJ136" s="58"/>
      <c r="FK136" s="58"/>
      <c r="FL136" s="58"/>
      <c r="FM136" s="58"/>
    </row>
    <row r="137"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8"/>
      <c r="FE137" s="58"/>
      <c r="FF137" s="58"/>
      <c r="FG137" s="58"/>
      <c r="FH137" s="58"/>
      <c r="FI137" s="58"/>
      <c r="FJ137" s="58"/>
      <c r="FK137" s="58"/>
      <c r="FL137" s="58"/>
      <c r="FM137" s="58"/>
    </row>
    <row r="138"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8"/>
    </row>
    <row r="139"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/>
      <c r="FE139" s="58"/>
      <c r="FF139" s="58"/>
      <c r="FG139" s="58"/>
      <c r="FH139" s="58"/>
      <c r="FI139" s="58"/>
      <c r="FJ139" s="58"/>
      <c r="FK139" s="58"/>
      <c r="FL139" s="58"/>
      <c r="FM139" s="58"/>
    </row>
    <row r="140"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8"/>
      <c r="FE140" s="58"/>
      <c r="FF140" s="58"/>
      <c r="FG140" s="58"/>
      <c r="FH140" s="58"/>
      <c r="FI140" s="58"/>
      <c r="FJ140" s="58"/>
      <c r="FK140" s="58"/>
      <c r="FL140" s="58"/>
      <c r="FM140" s="58"/>
    </row>
    <row r="141"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8"/>
    </row>
    <row r="142"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8"/>
      <c r="FE142" s="58"/>
      <c r="FF142" s="58"/>
      <c r="FG142" s="58"/>
      <c r="FH142" s="58"/>
      <c r="FI142" s="58"/>
      <c r="FJ142" s="58"/>
      <c r="FK142" s="58"/>
      <c r="FL142" s="58"/>
      <c r="FM142" s="58"/>
    </row>
    <row r="143">
      <c r="ET143" s="58"/>
      <c r="EU143" s="58"/>
      <c r="EV143" s="58"/>
      <c r="EW143" s="58"/>
      <c r="EX143" s="58"/>
      <c r="EY143" s="58"/>
      <c r="EZ143" s="58"/>
      <c r="FA143" s="58"/>
      <c r="FB143" s="58"/>
      <c r="FC143" s="58"/>
      <c r="FD143" s="58"/>
      <c r="FE143" s="58"/>
      <c r="FF143" s="58"/>
      <c r="FG143" s="58"/>
      <c r="FH143" s="58"/>
      <c r="FI143" s="58"/>
      <c r="FJ143" s="58"/>
      <c r="FK143" s="58"/>
      <c r="FL143" s="58"/>
      <c r="FM143" s="58"/>
    </row>
    <row r="144"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8"/>
      <c r="FE144" s="58"/>
      <c r="FF144" s="58"/>
      <c r="FG144" s="58"/>
      <c r="FH144" s="58"/>
      <c r="FI144" s="58"/>
      <c r="FJ144" s="58"/>
      <c r="FK144" s="58"/>
      <c r="FL144" s="58"/>
      <c r="FM144" s="58"/>
    </row>
    <row r="145">
      <c r="ET145" s="58"/>
      <c r="EU145" s="58"/>
      <c r="EV145" s="58"/>
      <c r="EW145" s="58"/>
      <c r="EX145" s="58"/>
      <c r="EY145" s="58"/>
      <c r="EZ145" s="58"/>
      <c r="FA145" s="58"/>
      <c r="FB145" s="58"/>
      <c r="FC145" s="58"/>
      <c r="FD145" s="58"/>
      <c r="FE145" s="58"/>
      <c r="FF145" s="58"/>
      <c r="FG145" s="58"/>
      <c r="FH145" s="58"/>
      <c r="FI145" s="58"/>
      <c r="FJ145" s="58"/>
      <c r="FK145" s="58"/>
      <c r="FL145" s="58"/>
      <c r="FM145" s="58"/>
    </row>
    <row r="146"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</row>
    <row r="147"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  <c r="FI147" s="58"/>
      <c r="FJ147" s="58"/>
      <c r="FK147" s="58"/>
      <c r="FL147" s="58"/>
      <c r="FM147" s="58"/>
    </row>
    <row r="148"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/>
      <c r="FE148" s="58"/>
      <c r="FF148" s="58"/>
      <c r="FG148" s="58"/>
      <c r="FH148" s="58"/>
      <c r="FI148" s="58"/>
      <c r="FJ148" s="58"/>
      <c r="FK148" s="58"/>
      <c r="FL148" s="58"/>
      <c r="FM148" s="58"/>
    </row>
    <row r="149"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/>
      <c r="FI149" s="58"/>
      <c r="FJ149" s="58"/>
      <c r="FK149" s="58"/>
      <c r="FL149" s="58"/>
      <c r="FM149" s="58"/>
    </row>
    <row r="150"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8"/>
      <c r="FE150" s="58"/>
      <c r="FF150" s="58"/>
      <c r="FG150" s="58"/>
      <c r="FH150" s="58"/>
      <c r="FI150" s="58"/>
      <c r="FJ150" s="58"/>
      <c r="FK150" s="58"/>
      <c r="FL150" s="58"/>
      <c r="FM150" s="58"/>
    </row>
    <row r="151"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</row>
    <row r="152"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8"/>
    </row>
    <row r="153"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8"/>
    </row>
    <row r="154"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</row>
    <row r="155">
      <c r="ET155" s="58"/>
      <c r="EU155" s="58"/>
      <c r="EV155" s="58"/>
      <c r="EW155" s="58"/>
      <c r="EX155" s="58"/>
      <c r="EY155" s="58"/>
      <c r="EZ155" s="58"/>
      <c r="FA155" s="58"/>
      <c r="FB155" s="58"/>
      <c r="FC155" s="58"/>
      <c r="FD155" s="58"/>
      <c r="FE155" s="58"/>
      <c r="FF155" s="58"/>
      <c r="FG155" s="58"/>
      <c r="FH155" s="58"/>
      <c r="FI155" s="58"/>
      <c r="FJ155" s="58"/>
      <c r="FK155" s="58"/>
      <c r="FL155" s="58"/>
      <c r="FM155" s="58"/>
    </row>
    <row r="156"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8"/>
      <c r="FE156" s="58"/>
      <c r="FF156" s="58"/>
      <c r="FG156" s="58"/>
      <c r="FH156" s="58"/>
      <c r="FI156" s="58"/>
      <c r="FJ156" s="58"/>
      <c r="FK156" s="58"/>
      <c r="FL156" s="58"/>
      <c r="FM156" s="58"/>
    </row>
    <row r="157"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8"/>
      <c r="FE157" s="58"/>
      <c r="FF157" s="58"/>
      <c r="FG157" s="58"/>
      <c r="FH157" s="58"/>
      <c r="FI157" s="58"/>
      <c r="FJ157" s="58"/>
      <c r="FK157" s="58"/>
      <c r="FL157" s="58"/>
      <c r="FM157" s="58"/>
    </row>
    <row r="158"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</row>
    <row r="159"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</row>
    <row r="160"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/>
      <c r="FL160" s="58"/>
      <c r="FM160" s="58"/>
    </row>
    <row r="161"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</row>
    <row r="162"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8"/>
      <c r="FE162" s="58"/>
      <c r="FF162" s="58"/>
      <c r="FG162" s="58"/>
      <c r="FH162" s="58"/>
      <c r="FI162" s="58"/>
      <c r="FJ162" s="58"/>
      <c r="FK162" s="58"/>
      <c r="FL162" s="58"/>
      <c r="FM162" s="58"/>
    </row>
    <row r="163"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  <c r="FI163" s="58"/>
      <c r="FJ163" s="58"/>
      <c r="FK163" s="58"/>
      <c r="FL163" s="58"/>
      <c r="FM163" s="58"/>
    </row>
    <row r="164"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</row>
    <row r="165"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8"/>
    </row>
    <row r="166"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/>
      <c r="FJ166" s="58"/>
      <c r="FK166" s="58"/>
      <c r="FL166" s="58"/>
      <c r="FM166" s="58"/>
    </row>
    <row r="167"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  <c r="FI167" s="58"/>
      <c r="FJ167" s="58"/>
      <c r="FK167" s="58"/>
      <c r="FL167" s="58"/>
      <c r="FM167" s="58"/>
    </row>
    <row r="168"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/>
      <c r="FE168" s="58"/>
      <c r="FF168" s="58"/>
      <c r="FG168" s="58"/>
      <c r="FH168" s="58"/>
      <c r="FI168" s="58"/>
      <c r="FJ168" s="58"/>
      <c r="FK168" s="58"/>
      <c r="FL168" s="58"/>
      <c r="FM168" s="58"/>
    </row>
    <row r="169"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8"/>
      <c r="FE169" s="58"/>
      <c r="FF169" s="58"/>
      <c r="FG169" s="58"/>
      <c r="FH169" s="58"/>
      <c r="FI169" s="58"/>
      <c r="FJ169" s="58"/>
      <c r="FK169" s="58"/>
      <c r="FL169" s="58"/>
      <c r="FM169" s="58"/>
    </row>
    <row r="170">
      <c r="ET170" s="58"/>
      <c r="EU170" s="58"/>
      <c r="EV170" s="58"/>
      <c r="EW170" s="58"/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/>
      <c r="FJ170" s="58"/>
      <c r="FK170" s="58"/>
      <c r="FL170" s="58"/>
      <c r="FM170" s="58"/>
    </row>
    <row r="171"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</row>
    <row r="172"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8"/>
      <c r="FE172" s="58"/>
      <c r="FF172" s="58"/>
      <c r="FG172" s="58"/>
      <c r="FH172" s="58"/>
      <c r="FI172" s="58"/>
      <c r="FJ172" s="58"/>
      <c r="FK172" s="58"/>
      <c r="FL172" s="58"/>
      <c r="FM172" s="58"/>
    </row>
    <row r="173"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8"/>
      <c r="FE173" s="58"/>
      <c r="FF173" s="58"/>
      <c r="FG173" s="58"/>
      <c r="FH173" s="58"/>
      <c r="FI173" s="58"/>
      <c r="FJ173" s="58"/>
      <c r="FK173" s="58"/>
      <c r="FL173" s="58"/>
      <c r="FM173" s="58"/>
    </row>
    <row r="174"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</row>
    <row r="175"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</row>
    <row r="176"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8"/>
    </row>
    <row r="177"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8"/>
    </row>
    <row r="178"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</row>
    <row r="179"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/>
      <c r="FG179" s="58"/>
      <c r="FH179" s="58"/>
      <c r="FI179" s="58"/>
      <c r="FJ179" s="58"/>
      <c r="FK179" s="58"/>
      <c r="FL179" s="58"/>
      <c r="FM179" s="58"/>
    </row>
    <row r="180"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8"/>
      <c r="FE180" s="58"/>
      <c r="FF180" s="58"/>
      <c r="FG180" s="58"/>
      <c r="FH180" s="58"/>
      <c r="FI180" s="58"/>
      <c r="FJ180" s="58"/>
      <c r="FK180" s="58"/>
      <c r="FL180" s="58"/>
      <c r="FM180" s="58"/>
    </row>
    <row r="181"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8"/>
      <c r="FE181" s="58"/>
      <c r="FF181" s="58"/>
      <c r="FG181" s="58"/>
      <c r="FH181" s="58"/>
      <c r="FI181" s="58"/>
      <c r="FJ181" s="58"/>
      <c r="FK181" s="58"/>
      <c r="FL181" s="58"/>
      <c r="FM181" s="58"/>
    </row>
    <row r="182"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8"/>
    </row>
    <row r="183"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8"/>
      <c r="FE183" s="58"/>
      <c r="FF183" s="58"/>
      <c r="FG183" s="58"/>
      <c r="FH183" s="58"/>
      <c r="FI183" s="58"/>
      <c r="FJ183" s="58"/>
      <c r="FK183" s="58"/>
      <c r="FL183" s="58"/>
      <c r="FM183" s="58"/>
    </row>
    <row r="184"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8"/>
      <c r="FE184" s="58"/>
      <c r="FF184" s="58"/>
      <c r="FG184" s="58"/>
      <c r="FH184" s="58"/>
      <c r="FI184" s="58"/>
      <c r="FJ184" s="58"/>
      <c r="FK184" s="58"/>
      <c r="FL184" s="58"/>
      <c r="FM184" s="58"/>
    </row>
    <row r="185"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8"/>
      <c r="FE185" s="58"/>
      <c r="FF185" s="58"/>
      <c r="FG185" s="58"/>
      <c r="FH185" s="58"/>
      <c r="FI185" s="58"/>
      <c r="FJ185" s="58"/>
      <c r="FK185" s="58"/>
      <c r="FL185" s="58"/>
      <c r="FM185" s="58"/>
    </row>
    <row r="186"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8"/>
      <c r="FE186" s="58"/>
      <c r="FF186" s="58"/>
      <c r="FG186" s="58"/>
      <c r="FH186" s="58"/>
      <c r="FI186" s="58"/>
      <c r="FJ186" s="58"/>
      <c r="FK186" s="58"/>
      <c r="FL186" s="58"/>
      <c r="FM186" s="58"/>
    </row>
    <row r="187">
      <c r="ET187" s="58"/>
      <c r="EU187" s="58"/>
      <c r="EV187" s="58"/>
      <c r="EW187" s="58"/>
      <c r="EX187" s="58"/>
      <c r="EY187" s="58"/>
      <c r="EZ187" s="58"/>
      <c r="FA187" s="58"/>
      <c r="FB187" s="58"/>
      <c r="FC187" s="58"/>
      <c r="FD187" s="58"/>
      <c r="FE187" s="58"/>
      <c r="FF187" s="58"/>
      <c r="FG187" s="58"/>
      <c r="FH187" s="58"/>
      <c r="FI187" s="58"/>
      <c r="FJ187" s="58"/>
      <c r="FK187" s="58"/>
      <c r="FL187" s="58"/>
      <c r="FM187" s="58"/>
    </row>
    <row r="188"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8"/>
      <c r="FE188" s="58"/>
      <c r="FF188" s="58"/>
      <c r="FG188" s="58"/>
      <c r="FH188" s="58"/>
      <c r="FI188" s="58"/>
      <c r="FJ188" s="58"/>
      <c r="FK188" s="58"/>
      <c r="FL188" s="58"/>
      <c r="FM188" s="58"/>
    </row>
    <row r="189"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8"/>
      <c r="FE189" s="58"/>
      <c r="FF189" s="58"/>
      <c r="FG189" s="58"/>
      <c r="FH189" s="58"/>
      <c r="FI189" s="58"/>
      <c r="FJ189" s="58"/>
      <c r="FK189" s="58"/>
      <c r="FL189" s="58"/>
      <c r="FM189" s="58"/>
    </row>
    <row r="190"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8"/>
      <c r="FE190" s="58"/>
      <c r="FF190" s="58"/>
      <c r="FG190" s="58"/>
      <c r="FH190" s="58"/>
      <c r="FI190" s="58"/>
      <c r="FJ190" s="58"/>
      <c r="FK190" s="58"/>
      <c r="FL190" s="58"/>
      <c r="FM190" s="58"/>
    </row>
    <row r="191"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  <c r="FI191" s="58"/>
      <c r="FJ191" s="58"/>
      <c r="FK191" s="58"/>
      <c r="FL191" s="58"/>
      <c r="FM191" s="58"/>
    </row>
    <row r="192"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8"/>
      <c r="FE192" s="58"/>
      <c r="FF192" s="58"/>
      <c r="FG192" s="58"/>
      <c r="FH192" s="58"/>
      <c r="FI192" s="58"/>
      <c r="FJ192" s="58"/>
      <c r="FK192" s="58"/>
      <c r="FL192" s="58"/>
      <c r="FM192" s="58"/>
    </row>
    <row r="193"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8"/>
      <c r="FE193" s="58"/>
      <c r="FF193" s="58"/>
      <c r="FG193" s="58"/>
      <c r="FH193" s="58"/>
      <c r="FI193" s="58"/>
      <c r="FJ193" s="58"/>
      <c r="FK193" s="58"/>
      <c r="FL193" s="58"/>
      <c r="FM193" s="58"/>
    </row>
    <row r="194"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8"/>
      <c r="FE194" s="58"/>
      <c r="FF194" s="58"/>
      <c r="FG194" s="58"/>
      <c r="FH194" s="58"/>
      <c r="FI194" s="58"/>
      <c r="FJ194" s="58"/>
      <c r="FK194" s="58"/>
      <c r="FL194" s="58"/>
      <c r="FM194" s="58"/>
    </row>
    <row r="195"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8"/>
      <c r="FE195" s="58"/>
      <c r="FF195" s="58"/>
      <c r="FG195" s="58"/>
      <c r="FH195" s="58"/>
      <c r="FI195" s="58"/>
      <c r="FJ195" s="58"/>
      <c r="FK195" s="58"/>
      <c r="FL195" s="58"/>
      <c r="FM195" s="58"/>
    </row>
    <row r="196"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8"/>
    </row>
    <row r="197"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8"/>
      <c r="FE197" s="58"/>
      <c r="FF197" s="58"/>
      <c r="FG197" s="58"/>
      <c r="FH197" s="58"/>
      <c r="FI197" s="58"/>
      <c r="FJ197" s="58"/>
      <c r="FK197" s="58"/>
      <c r="FL197" s="58"/>
      <c r="FM197" s="58"/>
    </row>
    <row r="198"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8"/>
    </row>
    <row r="199">
      <c r="ET199" s="58"/>
      <c r="EU199" s="58"/>
      <c r="EV199" s="58"/>
      <c r="EW199" s="58"/>
      <c r="EX199" s="58"/>
      <c r="EY199" s="58"/>
      <c r="EZ199" s="58"/>
      <c r="FA199" s="58"/>
      <c r="FB199" s="58"/>
      <c r="FC199" s="58"/>
      <c r="FD199" s="58"/>
      <c r="FE199" s="58"/>
      <c r="FF199" s="58"/>
      <c r="FG199" s="58"/>
      <c r="FH199" s="58"/>
      <c r="FI199" s="58"/>
      <c r="FJ199" s="58"/>
      <c r="FK199" s="58"/>
      <c r="FL199" s="58"/>
      <c r="FM199" s="58"/>
    </row>
    <row r="200">
      <c r="ET200" s="58"/>
      <c r="EU200" s="58"/>
      <c r="EV200" s="58"/>
      <c r="EW200" s="58"/>
      <c r="EX200" s="58"/>
      <c r="EY200" s="58"/>
      <c r="EZ200" s="58"/>
      <c r="FA200" s="58"/>
      <c r="FB200" s="58"/>
      <c r="FC200" s="58"/>
      <c r="FD200" s="58"/>
      <c r="FE200" s="58"/>
      <c r="FF200" s="58"/>
      <c r="FG200" s="58"/>
      <c r="FH200" s="58"/>
      <c r="FI200" s="58"/>
      <c r="FJ200" s="58"/>
      <c r="FK200" s="58"/>
      <c r="FL200" s="58"/>
      <c r="FM200" s="58"/>
    </row>
    <row r="201"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  <c r="FI201" s="58"/>
      <c r="FJ201" s="58"/>
      <c r="FK201" s="58"/>
      <c r="FL201" s="58"/>
      <c r="FM201" s="58"/>
    </row>
    <row r="202"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8"/>
      <c r="FE202" s="58"/>
      <c r="FF202" s="58"/>
      <c r="FG202" s="58"/>
      <c r="FH202" s="58"/>
      <c r="FI202" s="58"/>
      <c r="FJ202" s="58"/>
      <c r="FK202" s="58"/>
      <c r="FL202" s="58"/>
      <c r="FM202" s="58"/>
    </row>
    <row r="203"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8"/>
      <c r="FE203" s="58"/>
      <c r="FF203" s="58"/>
      <c r="FG203" s="58"/>
      <c r="FH203" s="58"/>
      <c r="FI203" s="58"/>
      <c r="FJ203" s="58"/>
      <c r="FK203" s="58"/>
      <c r="FL203" s="58"/>
      <c r="FM203" s="58"/>
    </row>
    <row r="204"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8"/>
      <c r="FE204" s="58"/>
      <c r="FF204" s="58"/>
      <c r="FG204" s="58"/>
      <c r="FH204" s="58"/>
      <c r="FI204" s="58"/>
      <c r="FJ204" s="58"/>
      <c r="FK204" s="58"/>
      <c r="FL204" s="58"/>
      <c r="FM204" s="58"/>
    </row>
    <row r="205"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8"/>
      <c r="FE205" s="58"/>
      <c r="FF205" s="58"/>
      <c r="FG205" s="58"/>
      <c r="FH205" s="58"/>
      <c r="FI205" s="58"/>
      <c r="FJ205" s="58"/>
      <c r="FK205" s="58"/>
      <c r="FL205" s="58"/>
      <c r="FM205" s="58"/>
    </row>
    <row r="206">
      <c r="ET206" s="58"/>
      <c r="EU206" s="58"/>
      <c r="EV206" s="58"/>
      <c r="EW206" s="58"/>
      <c r="EX206" s="58"/>
      <c r="EY206" s="58"/>
      <c r="EZ206" s="58"/>
      <c r="FA206" s="58"/>
      <c r="FB206" s="58"/>
      <c r="FC206" s="58"/>
      <c r="FD206" s="58"/>
      <c r="FE206" s="58"/>
      <c r="FF206" s="58"/>
      <c r="FG206" s="58"/>
      <c r="FH206" s="58"/>
      <c r="FI206" s="58"/>
      <c r="FJ206" s="58"/>
      <c r="FK206" s="58"/>
      <c r="FL206" s="58"/>
      <c r="FM206" s="58"/>
    </row>
    <row r="207"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8"/>
      <c r="FE207" s="58"/>
      <c r="FF207" s="58"/>
      <c r="FG207" s="58"/>
      <c r="FH207" s="58"/>
      <c r="FI207" s="58"/>
      <c r="FJ207" s="58"/>
      <c r="FK207" s="58"/>
      <c r="FL207" s="58"/>
      <c r="FM207" s="58"/>
    </row>
    <row r="208"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8"/>
      <c r="FE208" s="58"/>
      <c r="FF208" s="58"/>
      <c r="FG208" s="58"/>
      <c r="FH208" s="58"/>
      <c r="FI208" s="58"/>
      <c r="FJ208" s="58"/>
      <c r="FK208" s="58"/>
      <c r="FL208" s="58"/>
      <c r="FM208" s="58"/>
    </row>
    <row r="209">
      <c r="ET209" s="58"/>
      <c r="EU209" s="58"/>
      <c r="EV209" s="58"/>
      <c r="EW209" s="58"/>
      <c r="EX209" s="58"/>
      <c r="EY209" s="58"/>
      <c r="EZ209" s="58"/>
      <c r="FA209" s="58"/>
      <c r="FB209" s="58"/>
      <c r="FC209" s="58"/>
      <c r="FD209" s="58"/>
      <c r="FE209" s="58"/>
      <c r="FF209" s="58"/>
      <c r="FG209" s="58"/>
      <c r="FH209" s="58"/>
      <c r="FI209" s="58"/>
      <c r="FJ209" s="58"/>
      <c r="FK209" s="58"/>
      <c r="FL209" s="58"/>
      <c r="FM209" s="58"/>
    </row>
    <row r="210"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8"/>
      <c r="FE210" s="58"/>
      <c r="FF210" s="58"/>
      <c r="FG210" s="58"/>
      <c r="FH210" s="58"/>
      <c r="FI210" s="58"/>
      <c r="FJ210" s="58"/>
      <c r="FK210" s="58"/>
      <c r="FL210" s="58"/>
      <c r="FM210" s="58"/>
    </row>
    <row r="211"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8"/>
    </row>
    <row r="212">
      <c r="ET212" s="58"/>
      <c r="EU212" s="58"/>
      <c r="EV212" s="58"/>
      <c r="EW212" s="58"/>
      <c r="EX212" s="58"/>
      <c r="EY212" s="58"/>
      <c r="EZ212" s="58"/>
      <c r="FA212" s="58"/>
      <c r="FB212" s="58"/>
      <c r="FC212" s="58"/>
      <c r="FD212" s="58"/>
      <c r="FE212" s="58"/>
      <c r="FF212" s="58"/>
      <c r="FG212" s="58"/>
      <c r="FH212" s="58"/>
      <c r="FI212" s="58"/>
      <c r="FJ212" s="58"/>
      <c r="FK212" s="58"/>
      <c r="FL212" s="58"/>
      <c r="FM212" s="58"/>
    </row>
    <row r="213">
      <c r="ET213" s="58"/>
      <c r="EU213" s="58"/>
      <c r="EV213" s="58"/>
      <c r="EW213" s="58"/>
      <c r="EX213" s="58"/>
      <c r="EY213" s="58"/>
      <c r="EZ213" s="58"/>
      <c r="FA213" s="58"/>
      <c r="FB213" s="58"/>
      <c r="FC213" s="58"/>
      <c r="FD213" s="58"/>
      <c r="FE213" s="58"/>
      <c r="FF213" s="58"/>
      <c r="FG213" s="58"/>
      <c r="FH213" s="58"/>
      <c r="FI213" s="58"/>
      <c r="FJ213" s="58"/>
      <c r="FK213" s="58"/>
      <c r="FL213" s="58"/>
      <c r="FM213" s="58"/>
    </row>
    <row r="214">
      <c r="ET214" s="58"/>
      <c r="EU214" s="58"/>
      <c r="EV214" s="58"/>
      <c r="EW214" s="58"/>
      <c r="EX214" s="58"/>
      <c r="EY214" s="58"/>
      <c r="EZ214" s="58"/>
      <c r="FA214" s="58"/>
      <c r="FB214" s="58"/>
      <c r="FC214" s="58"/>
      <c r="FD214" s="58"/>
      <c r="FE214" s="58"/>
      <c r="FF214" s="58"/>
      <c r="FG214" s="58"/>
      <c r="FH214" s="58"/>
      <c r="FI214" s="58"/>
      <c r="FJ214" s="58"/>
      <c r="FK214" s="58"/>
      <c r="FL214" s="58"/>
      <c r="FM214" s="58"/>
    </row>
    <row r="215"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8"/>
      <c r="FE215" s="58"/>
      <c r="FF215" s="58"/>
      <c r="FG215" s="58"/>
      <c r="FH215" s="58"/>
      <c r="FI215" s="58"/>
      <c r="FJ215" s="58"/>
      <c r="FK215" s="58"/>
      <c r="FL215" s="58"/>
      <c r="FM215" s="58"/>
    </row>
    <row r="216"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8"/>
    </row>
    <row r="217"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8"/>
      <c r="FE217" s="58"/>
      <c r="FF217" s="58"/>
      <c r="FG217" s="58"/>
      <c r="FH217" s="58"/>
      <c r="FI217" s="58"/>
      <c r="FJ217" s="58"/>
      <c r="FK217" s="58"/>
      <c r="FL217" s="58"/>
      <c r="FM217" s="58"/>
    </row>
    <row r="218"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8"/>
      <c r="FE218" s="58"/>
      <c r="FF218" s="58"/>
      <c r="FG218" s="58"/>
      <c r="FH218" s="58"/>
      <c r="FI218" s="58"/>
      <c r="FJ218" s="58"/>
      <c r="FK218" s="58"/>
      <c r="FL218" s="58"/>
      <c r="FM218" s="58"/>
    </row>
    <row r="219"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8"/>
      <c r="FE219" s="58"/>
      <c r="FF219" s="58"/>
      <c r="FG219" s="58"/>
      <c r="FH219" s="58"/>
      <c r="FI219" s="58"/>
      <c r="FJ219" s="58"/>
      <c r="FK219" s="58"/>
      <c r="FL219" s="58"/>
      <c r="FM219" s="58"/>
    </row>
    <row r="220"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8"/>
      <c r="FE220" s="58"/>
      <c r="FF220" s="58"/>
      <c r="FG220" s="58"/>
      <c r="FH220" s="58"/>
      <c r="FI220" s="58"/>
      <c r="FJ220" s="58"/>
      <c r="FK220" s="58"/>
      <c r="FL220" s="58"/>
      <c r="FM220" s="58"/>
    </row>
    <row r="221"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8"/>
    </row>
    <row r="222"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8"/>
      <c r="FE222" s="58"/>
      <c r="FF222" s="58"/>
      <c r="FG222" s="58"/>
      <c r="FH222" s="58"/>
      <c r="FI222" s="58"/>
      <c r="FJ222" s="58"/>
      <c r="FK222" s="58"/>
      <c r="FL222" s="58"/>
      <c r="FM222" s="58"/>
    </row>
    <row r="223"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8"/>
      <c r="FE223" s="58"/>
      <c r="FF223" s="58"/>
      <c r="FG223" s="58"/>
      <c r="FH223" s="58"/>
      <c r="FI223" s="58"/>
      <c r="FJ223" s="58"/>
      <c r="FK223" s="58"/>
      <c r="FL223" s="58"/>
      <c r="FM223" s="58"/>
    </row>
    <row r="224"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8"/>
      <c r="FE224" s="58"/>
      <c r="FF224" s="58"/>
      <c r="FG224" s="58"/>
      <c r="FH224" s="58"/>
      <c r="FI224" s="58"/>
      <c r="FJ224" s="58"/>
      <c r="FK224" s="58"/>
      <c r="FL224" s="58"/>
      <c r="FM224" s="58"/>
    </row>
    <row r="225">
      <c r="ET225" s="58"/>
      <c r="EU225" s="58"/>
      <c r="EV225" s="58"/>
      <c r="EW225" s="58"/>
      <c r="EX225" s="58"/>
      <c r="EY225" s="58"/>
      <c r="EZ225" s="58"/>
      <c r="FA225" s="58"/>
      <c r="FB225" s="58"/>
      <c r="FC225" s="58"/>
      <c r="FD225" s="58"/>
      <c r="FE225" s="58"/>
      <c r="FF225" s="58"/>
      <c r="FG225" s="58"/>
      <c r="FH225" s="58"/>
      <c r="FI225" s="58"/>
      <c r="FJ225" s="58"/>
      <c r="FK225" s="58"/>
      <c r="FL225" s="58"/>
      <c r="FM225" s="58"/>
    </row>
    <row r="226"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8"/>
    </row>
    <row r="227"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8"/>
      <c r="FE227" s="58"/>
      <c r="FF227" s="58"/>
      <c r="FG227" s="58"/>
      <c r="FH227" s="58"/>
      <c r="FI227" s="58"/>
      <c r="FJ227" s="58"/>
      <c r="FK227" s="58"/>
      <c r="FL227" s="58"/>
      <c r="FM227" s="58"/>
    </row>
    <row r="228"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8"/>
      <c r="FE228" s="58"/>
      <c r="FF228" s="58"/>
      <c r="FG228" s="58"/>
      <c r="FH228" s="58"/>
      <c r="FI228" s="58"/>
      <c r="FJ228" s="58"/>
      <c r="FK228" s="58"/>
      <c r="FL228" s="58"/>
      <c r="FM228" s="58"/>
    </row>
    <row r="229"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8"/>
      <c r="FE229" s="58"/>
      <c r="FF229" s="58"/>
      <c r="FG229" s="58"/>
      <c r="FH229" s="58"/>
      <c r="FI229" s="58"/>
      <c r="FJ229" s="58"/>
      <c r="FK229" s="58"/>
      <c r="FL229" s="58"/>
      <c r="FM229" s="58"/>
    </row>
    <row r="230"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8"/>
      <c r="FE230" s="58"/>
      <c r="FF230" s="58"/>
      <c r="FG230" s="58"/>
      <c r="FH230" s="58"/>
      <c r="FI230" s="58"/>
      <c r="FJ230" s="58"/>
      <c r="FK230" s="58"/>
      <c r="FL230" s="58"/>
      <c r="FM230" s="58"/>
    </row>
    <row r="231"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8"/>
      <c r="FE231" s="58"/>
      <c r="FF231" s="58"/>
      <c r="FG231" s="58"/>
      <c r="FH231" s="58"/>
      <c r="FI231" s="58"/>
      <c r="FJ231" s="58"/>
      <c r="FK231" s="58"/>
      <c r="FL231" s="58"/>
      <c r="FM231" s="58"/>
    </row>
    <row r="232"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8"/>
      <c r="FE232" s="58"/>
      <c r="FF232" s="58"/>
      <c r="FG232" s="58"/>
      <c r="FH232" s="58"/>
      <c r="FI232" s="58"/>
      <c r="FJ232" s="58"/>
      <c r="FK232" s="58"/>
      <c r="FL232" s="58"/>
      <c r="FM232" s="58"/>
    </row>
    <row r="233"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8"/>
      <c r="FE233" s="58"/>
      <c r="FF233" s="58"/>
      <c r="FG233" s="58"/>
      <c r="FH233" s="58"/>
      <c r="FI233" s="58"/>
      <c r="FJ233" s="58"/>
      <c r="FK233" s="58"/>
      <c r="FL233" s="58"/>
      <c r="FM233" s="58"/>
    </row>
    <row r="234">
      <c r="ET234" s="58"/>
      <c r="EU234" s="58"/>
      <c r="EV234" s="58"/>
      <c r="EW234" s="58"/>
      <c r="EX234" s="58"/>
      <c r="EY234" s="58"/>
      <c r="EZ234" s="58"/>
      <c r="FA234" s="58"/>
      <c r="FB234" s="58"/>
      <c r="FC234" s="58"/>
      <c r="FD234" s="58"/>
      <c r="FE234" s="58"/>
      <c r="FF234" s="58"/>
      <c r="FG234" s="58"/>
      <c r="FH234" s="58"/>
      <c r="FI234" s="58"/>
      <c r="FJ234" s="58"/>
      <c r="FK234" s="58"/>
      <c r="FL234" s="58"/>
      <c r="FM234" s="58"/>
    </row>
    <row r="235"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  <c r="FI235" s="58"/>
      <c r="FJ235" s="58"/>
      <c r="FK235" s="58"/>
      <c r="FL235" s="58"/>
      <c r="FM235" s="58"/>
    </row>
    <row r="236">
      <c r="ET236" s="58"/>
      <c r="EU236" s="58"/>
      <c r="EV236" s="58"/>
      <c r="EW236" s="58"/>
      <c r="EX236" s="58"/>
      <c r="EY236" s="58"/>
      <c r="EZ236" s="58"/>
      <c r="FA236" s="58"/>
      <c r="FB236" s="58"/>
      <c r="FC236" s="58"/>
      <c r="FD236" s="58"/>
      <c r="FE236" s="58"/>
      <c r="FF236" s="58"/>
      <c r="FG236" s="58"/>
      <c r="FH236" s="58"/>
      <c r="FI236" s="58"/>
      <c r="FJ236" s="58"/>
      <c r="FK236" s="58"/>
      <c r="FL236" s="58"/>
      <c r="FM236" s="58"/>
    </row>
    <row r="237"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8"/>
      <c r="FE237" s="58"/>
      <c r="FF237" s="58"/>
      <c r="FG237" s="58"/>
      <c r="FH237" s="58"/>
      <c r="FI237" s="58"/>
      <c r="FJ237" s="58"/>
      <c r="FK237" s="58"/>
      <c r="FL237" s="58"/>
      <c r="FM237" s="58"/>
    </row>
    <row r="238">
      <c r="ET238" s="58"/>
      <c r="EU238" s="58"/>
      <c r="EV238" s="58"/>
      <c r="EW238" s="58"/>
      <c r="EX238" s="58"/>
      <c r="EY238" s="58"/>
      <c r="EZ238" s="58"/>
      <c r="FA238" s="58"/>
      <c r="FB238" s="58"/>
      <c r="FC238" s="58"/>
      <c r="FD238" s="58"/>
      <c r="FE238" s="58"/>
      <c r="FF238" s="58"/>
      <c r="FG238" s="58"/>
      <c r="FH238" s="58"/>
      <c r="FI238" s="58"/>
      <c r="FJ238" s="58"/>
      <c r="FK238" s="58"/>
      <c r="FL238" s="58"/>
      <c r="FM238" s="58"/>
    </row>
    <row r="239"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8"/>
      <c r="FE239" s="58"/>
      <c r="FF239" s="58"/>
      <c r="FG239" s="58"/>
      <c r="FH239" s="58"/>
      <c r="FI239" s="58"/>
      <c r="FJ239" s="58"/>
      <c r="FK239" s="58"/>
      <c r="FL239" s="58"/>
      <c r="FM239" s="58"/>
    </row>
    <row r="240"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8"/>
      <c r="FE240" s="58"/>
      <c r="FF240" s="58"/>
      <c r="FG240" s="58"/>
      <c r="FH240" s="58"/>
      <c r="FI240" s="58"/>
      <c r="FJ240" s="58"/>
      <c r="FK240" s="58"/>
      <c r="FL240" s="58"/>
      <c r="FM240" s="58"/>
    </row>
    <row r="241">
      <c r="ET241" s="58"/>
      <c r="EU241" s="58"/>
      <c r="EV241" s="58"/>
      <c r="EW241" s="58"/>
      <c r="EX241" s="58"/>
      <c r="EY241" s="58"/>
      <c r="EZ241" s="58"/>
      <c r="FA241" s="58"/>
      <c r="FB241" s="58"/>
      <c r="FC241" s="58"/>
      <c r="FD241" s="58"/>
      <c r="FE241" s="58"/>
      <c r="FF241" s="58"/>
      <c r="FG241" s="58"/>
      <c r="FH241" s="58"/>
      <c r="FI241" s="58"/>
      <c r="FJ241" s="58"/>
      <c r="FK241" s="58"/>
      <c r="FL241" s="58"/>
      <c r="FM241" s="58"/>
    </row>
    <row r="242"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8"/>
      <c r="FE242" s="58"/>
      <c r="FF242" s="58"/>
      <c r="FG242" s="58"/>
      <c r="FH242" s="58"/>
      <c r="FI242" s="58"/>
      <c r="FJ242" s="58"/>
      <c r="FK242" s="58"/>
      <c r="FL242" s="58"/>
      <c r="FM242" s="58"/>
    </row>
    <row r="243">
      <c r="ET243" s="58"/>
      <c r="EU243" s="58"/>
      <c r="EV243" s="58"/>
      <c r="EW243" s="58"/>
      <c r="EX243" s="58"/>
      <c r="EY243" s="58"/>
      <c r="EZ243" s="58"/>
      <c r="FA243" s="58"/>
      <c r="FB243" s="58"/>
      <c r="FC243" s="58"/>
      <c r="FD243" s="58"/>
      <c r="FE243" s="58"/>
      <c r="FF243" s="58"/>
      <c r="FG243" s="58"/>
      <c r="FH243" s="58"/>
      <c r="FI243" s="58"/>
      <c r="FJ243" s="58"/>
      <c r="FK243" s="58"/>
      <c r="FL243" s="58"/>
      <c r="FM243" s="58"/>
    </row>
    <row r="244">
      <c r="ET244" s="58"/>
      <c r="EU244" s="58"/>
      <c r="EV244" s="58"/>
      <c r="EW244" s="58"/>
      <c r="EX244" s="58"/>
      <c r="EY244" s="58"/>
      <c r="EZ244" s="58"/>
      <c r="FA244" s="58"/>
      <c r="FB244" s="58"/>
      <c r="FC244" s="58"/>
      <c r="FD244" s="58"/>
      <c r="FE244" s="58"/>
      <c r="FF244" s="58"/>
      <c r="FG244" s="58"/>
      <c r="FH244" s="58"/>
      <c r="FI244" s="58"/>
      <c r="FJ244" s="58"/>
      <c r="FK244" s="58"/>
      <c r="FL244" s="58"/>
      <c r="FM244" s="58"/>
    </row>
    <row r="245"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8"/>
      <c r="FE245" s="58"/>
      <c r="FF245" s="58"/>
      <c r="FG245" s="58"/>
      <c r="FH245" s="58"/>
      <c r="FI245" s="58"/>
      <c r="FJ245" s="58"/>
      <c r="FK245" s="58"/>
      <c r="FL245" s="58"/>
      <c r="FM245" s="58"/>
    </row>
    <row r="246"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8"/>
      <c r="FE246" s="58"/>
      <c r="FF246" s="58"/>
      <c r="FG246" s="58"/>
      <c r="FH246" s="58"/>
      <c r="FI246" s="58"/>
      <c r="FJ246" s="58"/>
      <c r="FK246" s="58"/>
      <c r="FL246" s="58"/>
      <c r="FM246" s="58"/>
    </row>
    <row r="247"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8"/>
      <c r="FE247" s="58"/>
      <c r="FF247" s="58"/>
      <c r="FG247" s="58"/>
      <c r="FH247" s="58"/>
      <c r="FI247" s="58"/>
      <c r="FJ247" s="58"/>
      <c r="FK247" s="58"/>
      <c r="FL247" s="58"/>
      <c r="FM247" s="58"/>
    </row>
    <row r="248"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8"/>
      <c r="FE248" s="58"/>
      <c r="FF248" s="58"/>
      <c r="FG248" s="58"/>
      <c r="FH248" s="58"/>
      <c r="FI248" s="58"/>
      <c r="FJ248" s="58"/>
      <c r="FK248" s="58"/>
      <c r="FL248" s="58"/>
      <c r="FM248" s="58"/>
    </row>
    <row r="249"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8"/>
      <c r="FE249" s="58"/>
      <c r="FF249" s="58"/>
      <c r="FG249" s="58"/>
      <c r="FH249" s="58"/>
      <c r="FI249" s="58"/>
      <c r="FJ249" s="58"/>
      <c r="FK249" s="58"/>
      <c r="FL249" s="58"/>
      <c r="FM249" s="58"/>
    </row>
    <row r="250"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58"/>
      <c r="FE250" s="58"/>
      <c r="FF250" s="58"/>
      <c r="FG250" s="58"/>
      <c r="FH250" s="58"/>
      <c r="FI250" s="58"/>
      <c r="FJ250" s="58"/>
      <c r="FK250" s="58"/>
      <c r="FL250" s="58"/>
      <c r="FM250" s="58"/>
    </row>
    <row r="251"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8"/>
      <c r="FE251" s="58"/>
      <c r="FF251" s="58"/>
      <c r="FG251" s="58"/>
      <c r="FH251" s="58"/>
      <c r="FI251" s="58"/>
      <c r="FJ251" s="58"/>
      <c r="FK251" s="58"/>
      <c r="FL251" s="58"/>
      <c r="FM251" s="58"/>
    </row>
    <row r="252"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8"/>
      <c r="FE252" s="58"/>
      <c r="FF252" s="58"/>
      <c r="FG252" s="58"/>
      <c r="FH252" s="58"/>
      <c r="FI252" s="58"/>
      <c r="FJ252" s="58"/>
      <c r="FK252" s="58"/>
      <c r="FL252" s="58"/>
      <c r="FM252" s="58"/>
    </row>
    <row r="253"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8"/>
      <c r="FE253" s="58"/>
      <c r="FF253" s="58"/>
      <c r="FG253" s="58"/>
      <c r="FH253" s="58"/>
      <c r="FI253" s="58"/>
      <c r="FJ253" s="58"/>
      <c r="FK253" s="58"/>
      <c r="FL253" s="58"/>
      <c r="FM253" s="58"/>
    </row>
    <row r="254"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8"/>
      <c r="FE254" s="58"/>
      <c r="FF254" s="58"/>
      <c r="FG254" s="58"/>
      <c r="FH254" s="58"/>
      <c r="FI254" s="58"/>
      <c r="FJ254" s="58"/>
      <c r="FK254" s="58"/>
      <c r="FL254" s="58"/>
      <c r="FM254" s="58"/>
    </row>
    <row r="255"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8"/>
      <c r="FE255" s="58"/>
      <c r="FF255" s="58"/>
      <c r="FG255" s="58"/>
      <c r="FH255" s="58"/>
      <c r="FI255" s="58"/>
      <c r="FJ255" s="58"/>
      <c r="FK255" s="58"/>
      <c r="FL255" s="58"/>
      <c r="FM255" s="58"/>
    </row>
    <row r="256"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8"/>
      <c r="FE256" s="58"/>
      <c r="FF256" s="58"/>
      <c r="FG256" s="58"/>
      <c r="FH256" s="58"/>
      <c r="FI256" s="58"/>
      <c r="FJ256" s="58"/>
      <c r="FK256" s="58"/>
      <c r="FL256" s="58"/>
      <c r="FM256" s="58"/>
    </row>
    <row r="257"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8"/>
      <c r="FE257" s="58"/>
      <c r="FF257" s="58"/>
      <c r="FG257" s="58"/>
      <c r="FH257" s="58"/>
      <c r="FI257" s="58"/>
      <c r="FJ257" s="58"/>
      <c r="FK257" s="58"/>
      <c r="FL257" s="58"/>
      <c r="FM257" s="58"/>
    </row>
    <row r="258"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8"/>
      <c r="FE258" s="58"/>
      <c r="FF258" s="58"/>
      <c r="FG258" s="58"/>
      <c r="FH258" s="58"/>
      <c r="FI258" s="58"/>
      <c r="FJ258" s="58"/>
      <c r="FK258" s="58"/>
      <c r="FL258" s="58"/>
      <c r="FM258" s="58"/>
    </row>
    <row r="259">
      <c r="ET259" s="58"/>
      <c r="EU259" s="58"/>
      <c r="EV259" s="58"/>
      <c r="EW259" s="58"/>
      <c r="EX259" s="58"/>
      <c r="EY259" s="58"/>
      <c r="EZ259" s="58"/>
      <c r="FA259" s="58"/>
      <c r="FB259" s="58"/>
      <c r="FC259" s="58"/>
      <c r="FD259" s="58"/>
      <c r="FE259" s="58"/>
      <c r="FF259" s="58"/>
      <c r="FG259" s="58"/>
      <c r="FH259" s="58"/>
      <c r="FI259" s="58"/>
      <c r="FJ259" s="58"/>
      <c r="FK259" s="58"/>
      <c r="FL259" s="58"/>
      <c r="FM259" s="58"/>
    </row>
    <row r="260"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8"/>
      <c r="FE260" s="58"/>
      <c r="FF260" s="58"/>
      <c r="FG260" s="58"/>
      <c r="FH260" s="58"/>
      <c r="FI260" s="58"/>
      <c r="FJ260" s="58"/>
      <c r="FK260" s="58"/>
      <c r="FL260" s="58"/>
      <c r="FM260" s="58"/>
    </row>
    <row r="261"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8"/>
      <c r="FE261" s="58"/>
      <c r="FF261" s="58"/>
      <c r="FG261" s="58"/>
      <c r="FH261" s="58"/>
      <c r="FI261" s="58"/>
      <c r="FJ261" s="58"/>
      <c r="FK261" s="58"/>
      <c r="FL261" s="58"/>
      <c r="FM261" s="58"/>
    </row>
    <row r="262">
      <c r="ET262" s="58"/>
      <c r="EU262" s="58"/>
      <c r="EV262" s="58"/>
      <c r="EW262" s="58"/>
      <c r="EX262" s="58"/>
      <c r="EY262" s="58"/>
      <c r="EZ262" s="58"/>
      <c r="FA262" s="58"/>
      <c r="FB262" s="58"/>
      <c r="FC262" s="58"/>
      <c r="FD262" s="58"/>
      <c r="FE262" s="58"/>
      <c r="FF262" s="58"/>
      <c r="FG262" s="58"/>
      <c r="FH262" s="58"/>
      <c r="FI262" s="58"/>
      <c r="FJ262" s="58"/>
      <c r="FK262" s="58"/>
      <c r="FL262" s="58"/>
      <c r="FM262" s="58"/>
    </row>
    <row r="263"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8"/>
      <c r="FE263" s="58"/>
      <c r="FF263" s="58"/>
      <c r="FG263" s="58"/>
      <c r="FH263" s="58"/>
      <c r="FI263" s="58"/>
      <c r="FJ263" s="58"/>
      <c r="FK263" s="58"/>
      <c r="FL263" s="58"/>
      <c r="FM263" s="58"/>
    </row>
    <row r="264"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8"/>
      <c r="FE264" s="58"/>
      <c r="FF264" s="58"/>
      <c r="FG264" s="58"/>
      <c r="FH264" s="58"/>
      <c r="FI264" s="58"/>
      <c r="FJ264" s="58"/>
      <c r="FK264" s="58"/>
      <c r="FL264" s="58"/>
      <c r="FM264" s="58"/>
    </row>
    <row r="265"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8"/>
      <c r="FE265" s="58"/>
      <c r="FF265" s="58"/>
      <c r="FG265" s="58"/>
      <c r="FH265" s="58"/>
      <c r="FI265" s="58"/>
      <c r="FJ265" s="58"/>
      <c r="FK265" s="58"/>
      <c r="FL265" s="58"/>
      <c r="FM265" s="58"/>
    </row>
    <row r="266"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8"/>
      <c r="FE266" s="58"/>
      <c r="FF266" s="58"/>
      <c r="FG266" s="58"/>
      <c r="FH266" s="58"/>
      <c r="FI266" s="58"/>
      <c r="FJ266" s="58"/>
      <c r="FK266" s="58"/>
      <c r="FL266" s="58"/>
      <c r="FM266" s="58"/>
    </row>
    <row r="267"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8"/>
      <c r="FE267" s="58"/>
      <c r="FF267" s="58"/>
      <c r="FG267" s="58"/>
      <c r="FH267" s="58"/>
      <c r="FI267" s="58"/>
      <c r="FJ267" s="58"/>
      <c r="FK267" s="58"/>
      <c r="FL267" s="58"/>
      <c r="FM267" s="58"/>
    </row>
    <row r="268">
      <c r="ET268" s="58"/>
      <c r="EU268" s="58"/>
      <c r="EV268" s="58"/>
      <c r="EW268" s="58"/>
      <c r="EX268" s="58"/>
      <c r="EY268" s="58"/>
      <c r="EZ268" s="58"/>
      <c r="FA268" s="58"/>
      <c r="FB268" s="58"/>
      <c r="FC268" s="58"/>
      <c r="FD268" s="58"/>
      <c r="FE268" s="58"/>
      <c r="FF268" s="58"/>
      <c r="FG268" s="58"/>
      <c r="FH268" s="58"/>
      <c r="FI268" s="58"/>
      <c r="FJ268" s="58"/>
      <c r="FK268" s="58"/>
      <c r="FL268" s="58"/>
      <c r="FM268" s="58"/>
    </row>
    <row r="269"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8"/>
      <c r="FE269" s="58"/>
      <c r="FF269" s="58"/>
      <c r="FG269" s="58"/>
      <c r="FH269" s="58"/>
      <c r="FI269" s="58"/>
      <c r="FJ269" s="58"/>
      <c r="FK269" s="58"/>
      <c r="FL269" s="58"/>
      <c r="FM269" s="58"/>
    </row>
    <row r="270"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8"/>
      <c r="FE270" s="58"/>
      <c r="FF270" s="58"/>
      <c r="FG270" s="58"/>
      <c r="FH270" s="58"/>
      <c r="FI270" s="58"/>
      <c r="FJ270" s="58"/>
      <c r="FK270" s="58"/>
      <c r="FL270" s="58"/>
      <c r="FM270" s="58"/>
    </row>
    <row r="271">
      <c r="ET271" s="58"/>
      <c r="EU271" s="58"/>
      <c r="EV271" s="58"/>
      <c r="EW271" s="58"/>
      <c r="EX271" s="58"/>
      <c r="EY271" s="58"/>
      <c r="EZ271" s="58"/>
      <c r="FA271" s="58"/>
      <c r="FB271" s="58"/>
      <c r="FC271" s="58"/>
      <c r="FD271" s="58"/>
      <c r="FE271" s="58"/>
      <c r="FF271" s="58"/>
      <c r="FG271" s="58"/>
      <c r="FH271" s="58"/>
      <c r="FI271" s="58"/>
      <c r="FJ271" s="58"/>
      <c r="FK271" s="58"/>
      <c r="FL271" s="58"/>
      <c r="FM271" s="58"/>
    </row>
    <row r="272"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8"/>
      <c r="FE272" s="58"/>
      <c r="FF272" s="58"/>
      <c r="FG272" s="58"/>
      <c r="FH272" s="58"/>
      <c r="FI272" s="58"/>
      <c r="FJ272" s="58"/>
      <c r="FK272" s="58"/>
      <c r="FL272" s="58"/>
      <c r="FM272" s="58"/>
    </row>
    <row r="273"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8"/>
      <c r="FE273" s="58"/>
      <c r="FF273" s="58"/>
      <c r="FG273" s="58"/>
      <c r="FH273" s="58"/>
      <c r="FI273" s="58"/>
      <c r="FJ273" s="58"/>
      <c r="FK273" s="58"/>
      <c r="FL273" s="58"/>
      <c r="FM273" s="58"/>
    </row>
    <row r="274"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8"/>
      <c r="FE274" s="58"/>
      <c r="FF274" s="58"/>
      <c r="FG274" s="58"/>
      <c r="FH274" s="58"/>
      <c r="FI274" s="58"/>
      <c r="FJ274" s="58"/>
      <c r="FK274" s="58"/>
      <c r="FL274" s="58"/>
      <c r="FM274" s="58"/>
    </row>
    <row r="275"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8"/>
      <c r="FE275" s="58"/>
      <c r="FF275" s="58"/>
      <c r="FG275" s="58"/>
      <c r="FH275" s="58"/>
      <c r="FI275" s="58"/>
      <c r="FJ275" s="58"/>
      <c r="FK275" s="58"/>
      <c r="FL275" s="58"/>
      <c r="FM275" s="58"/>
    </row>
    <row r="276"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8"/>
      <c r="FE276" s="58"/>
      <c r="FF276" s="58"/>
      <c r="FG276" s="58"/>
      <c r="FH276" s="58"/>
      <c r="FI276" s="58"/>
      <c r="FJ276" s="58"/>
      <c r="FK276" s="58"/>
      <c r="FL276" s="58"/>
      <c r="FM276" s="58"/>
    </row>
    <row r="277"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8"/>
      <c r="FE277" s="58"/>
      <c r="FF277" s="58"/>
      <c r="FG277" s="58"/>
      <c r="FH277" s="58"/>
      <c r="FI277" s="58"/>
      <c r="FJ277" s="58"/>
      <c r="FK277" s="58"/>
      <c r="FL277" s="58"/>
      <c r="FM277" s="58"/>
    </row>
    <row r="278">
      <c r="ET278" s="58"/>
      <c r="EU278" s="58"/>
      <c r="EV278" s="58"/>
      <c r="EW278" s="58"/>
      <c r="EX278" s="58"/>
      <c r="EY278" s="58"/>
      <c r="EZ278" s="58"/>
      <c r="FA278" s="58"/>
      <c r="FB278" s="58"/>
      <c r="FC278" s="58"/>
      <c r="FD278" s="58"/>
      <c r="FE278" s="58"/>
      <c r="FF278" s="58"/>
      <c r="FG278" s="58"/>
      <c r="FH278" s="58"/>
      <c r="FI278" s="58"/>
      <c r="FJ278" s="58"/>
      <c r="FK278" s="58"/>
      <c r="FL278" s="58"/>
      <c r="FM278" s="58"/>
    </row>
    <row r="279"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8"/>
      <c r="FE279" s="58"/>
      <c r="FF279" s="58"/>
      <c r="FG279" s="58"/>
      <c r="FH279" s="58"/>
      <c r="FI279" s="58"/>
      <c r="FJ279" s="58"/>
      <c r="FK279" s="58"/>
      <c r="FL279" s="58"/>
      <c r="FM279" s="58"/>
    </row>
    <row r="280"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8"/>
      <c r="FE280" s="58"/>
      <c r="FF280" s="58"/>
      <c r="FG280" s="58"/>
      <c r="FH280" s="58"/>
      <c r="FI280" s="58"/>
      <c r="FJ280" s="58"/>
      <c r="FK280" s="58"/>
      <c r="FL280" s="58"/>
      <c r="FM280" s="58"/>
    </row>
    <row r="281">
      <c r="ET281" s="58"/>
      <c r="EU281" s="58"/>
      <c r="EV281" s="58"/>
      <c r="EW281" s="58"/>
      <c r="EX281" s="58"/>
      <c r="EY281" s="58"/>
      <c r="EZ281" s="58"/>
      <c r="FA281" s="58"/>
      <c r="FB281" s="58"/>
      <c r="FC281" s="58"/>
      <c r="FD281" s="58"/>
      <c r="FE281" s="58"/>
      <c r="FF281" s="58"/>
      <c r="FG281" s="58"/>
      <c r="FH281" s="58"/>
      <c r="FI281" s="58"/>
      <c r="FJ281" s="58"/>
      <c r="FK281" s="58"/>
      <c r="FL281" s="58"/>
      <c r="FM281" s="58"/>
    </row>
    <row r="282"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8"/>
      <c r="FE282" s="58"/>
      <c r="FF282" s="58"/>
      <c r="FG282" s="58"/>
      <c r="FH282" s="58"/>
      <c r="FI282" s="58"/>
      <c r="FJ282" s="58"/>
      <c r="FK282" s="58"/>
      <c r="FL282" s="58"/>
      <c r="FM282" s="58"/>
    </row>
    <row r="283"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8"/>
      <c r="FE283" s="58"/>
      <c r="FF283" s="58"/>
      <c r="FG283" s="58"/>
      <c r="FH283" s="58"/>
      <c r="FI283" s="58"/>
      <c r="FJ283" s="58"/>
      <c r="FK283" s="58"/>
      <c r="FL283" s="58"/>
      <c r="FM283" s="58"/>
    </row>
    <row r="284">
      <c r="ET284" s="58"/>
      <c r="EU284" s="58"/>
      <c r="EV284" s="58"/>
      <c r="EW284" s="58"/>
      <c r="EX284" s="58"/>
      <c r="EY284" s="58"/>
      <c r="EZ284" s="58"/>
      <c r="FA284" s="58"/>
      <c r="FB284" s="58"/>
      <c r="FC284" s="58"/>
      <c r="FD284" s="58"/>
      <c r="FE284" s="58"/>
      <c r="FF284" s="58"/>
      <c r="FG284" s="58"/>
      <c r="FH284" s="58"/>
      <c r="FI284" s="58"/>
      <c r="FJ284" s="58"/>
      <c r="FK284" s="58"/>
      <c r="FL284" s="58"/>
      <c r="FM284" s="58"/>
    </row>
    <row r="285"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8"/>
      <c r="FE285" s="58"/>
      <c r="FF285" s="58"/>
      <c r="FG285" s="58"/>
      <c r="FH285" s="58"/>
      <c r="FI285" s="58"/>
      <c r="FJ285" s="58"/>
      <c r="FK285" s="58"/>
      <c r="FL285" s="58"/>
      <c r="FM285" s="58"/>
    </row>
    <row r="286">
      <c r="ET286" s="58"/>
      <c r="EU286" s="58"/>
      <c r="EV286" s="58"/>
      <c r="EW286" s="58"/>
      <c r="EX286" s="58"/>
      <c r="EY286" s="58"/>
      <c r="EZ286" s="58"/>
      <c r="FA286" s="58"/>
      <c r="FB286" s="58"/>
      <c r="FC286" s="58"/>
      <c r="FD286" s="58"/>
      <c r="FE286" s="58"/>
      <c r="FF286" s="58"/>
      <c r="FG286" s="58"/>
      <c r="FH286" s="58"/>
      <c r="FI286" s="58"/>
      <c r="FJ286" s="58"/>
      <c r="FK286" s="58"/>
      <c r="FL286" s="58"/>
      <c r="FM286" s="58"/>
    </row>
    <row r="287">
      <c r="ET287" s="58"/>
      <c r="EU287" s="58"/>
      <c r="EV287" s="58"/>
      <c r="EW287" s="58"/>
      <c r="EX287" s="58"/>
      <c r="EY287" s="58"/>
      <c r="EZ287" s="58"/>
      <c r="FA287" s="58"/>
      <c r="FB287" s="58"/>
      <c r="FC287" s="58"/>
      <c r="FD287" s="58"/>
      <c r="FE287" s="58"/>
      <c r="FF287" s="58"/>
      <c r="FG287" s="58"/>
      <c r="FH287" s="58"/>
      <c r="FI287" s="58"/>
      <c r="FJ287" s="58"/>
      <c r="FK287" s="58"/>
      <c r="FL287" s="58"/>
      <c r="FM287" s="58"/>
    </row>
    <row r="288">
      <c r="ET288" s="58"/>
      <c r="EU288" s="58"/>
      <c r="EV288" s="58"/>
      <c r="EW288" s="58"/>
      <c r="EX288" s="58"/>
      <c r="EY288" s="58"/>
      <c r="EZ288" s="58"/>
      <c r="FA288" s="58"/>
      <c r="FB288" s="58"/>
      <c r="FC288" s="58"/>
      <c r="FD288" s="58"/>
      <c r="FE288" s="58"/>
      <c r="FF288" s="58"/>
      <c r="FG288" s="58"/>
      <c r="FH288" s="58"/>
      <c r="FI288" s="58"/>
      <c r="FJ288" s="58"/>
      <c r="FK288" s="58"/>
      <c r="FL288" s="58"/>
      <c r="FM288" s="58"/>
    </row>
    <row r="289"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8"/>
      <c r="FE289" s="58"/>
      <c r="FF289" s="58"/>
      <c r="FG289" s="58"/>
      <c r="FH289" s="58"/>
      <c r="FI289" s="58"/>
      <c r="FJ289" s="58"/>
      <c r="FK289" s="58"/>
      <c r="FL289" s="58"/>
      <c r="FM289" s="58"/>
    </row>
    <row r="290">
      <c r="ET290" s="58"/>
      <c r="EU290" s="58"/>
      <c r="EV290" s="58"/>
      <c r="EW290" s="58"/>
      <c r="EX290" s="58"/>
      <c r="EY290" s="58"/>
      <c r="EZ290" s="58"/>
      <c r="FA290" s="58"/>
      <c r="FB290" s="58"/>
      <c r="FC290" s="58"/>
      <c r="FD290" s="58"/>
      <c r="FE290" s="58"/>
      <c r="FF290" s="58"/>
      <c r="FG290" s="58"/>
      <c r="FH290" s="58"/>
      <c r="FI290" s="58"/>
      <c r="FJ290" s="58"/>
      <c r="FK290" s="58"/>
      <c r="FL290" s="58"/>
      <c r="FM290" s="58"/>
    </row>
    <row r="291"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8"/>
      <c r="FE291" s="58"/>
      <c r="FF291" s="58"/>
      <c r="FG291" s="58"/>
      <c r="FH291" s="58"/>
      <c r="FI291" s="58"/>
      <c r="FJ291" s="58"/>
      <c r="FK291" s="58"/>
      <c r="FL291" s="58"/>
      <c r="FM291" s="58"/>
    </row>
    <row r="292"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8"/>
      <c r="FE292" s="58"/>
      <c r="FF292" s="58"/>
      <c r="FG292" s="58"/>
      <c r="FH292" s="58"/>
      <c r="FI292" s="58"/>
      <c r="FJ292" s="58"/>
      <c r="FK292" s="58"/>
      <c r="FL292" s="58"/>
      <c r="FM292" s="58"/>
    </row>
    <row r="293"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8"/>
      <c r="FE293" s="58"/>
      <c r="FF293" s="58"/>
      <c r="FG293" s="58"/>
      <c r="FH293" s="58"/>
      <c r="FI293" s="58"/>
      <c r="FJ293" s="58"/>
      <c r="FK293" s="58"/>
      <c r="FL293" s="58"/>
      <c r="FM293" s="58"/>
    </row>
    <row r="294"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8"/>
      <c r="FE294" s="58"/>
      <c r="FF294" s="58"/>
      <c r="FG294" s="58"/>
      <c r="FH294" s="58"/>
      <c r="FI294" s="58"/>
      <c r="FJ294" s="58"/>
      <c r="FK294" s="58"/>
      <c r="FL294" s="58"/>
      <c r="FM294" s="58"/>
    </row>
    <row r="295">
      <c r="ET295" s="58"/>
      <c r="EU295" s="58"/>
      <c r="EV295" s="58"/>
      <c r="EW295" s="58"/>
      <c r="EX295" s="58"/>
      <c r="EY295" s="58"/>
      <c r="EZ295" s="58"/>
      <c r="FA295" s="58"/>
      <c r="FB295" s="58"/>
      <c r="FC295" s="58"/>
      <c r="FD295" s="58"/>
      <c r="FE295" s="58"/>
      <c r="FF295" s="58"/>
      <c r="FG295" s="58"/>
      <c r="FH295" s="58"/>
      <c r="FI295" s="58"/>
      <c r="FJ295" s="58"/>
      <c r="FK295" s="58"/>
      <c r="FL295" s="58"/>
      <c r="FM295" s="58"/>
    </row>
    <row r="296"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8"/>
      <c r="FE296" s="58"/>
      <c r="FF296" s="58"/>
      <c r="FG296" s="58"/>
      <c r="FH296" s="58"/>
      <c r="FI296" s="58"/>
      <c r="FJ296" s="58"/>
      <c r="FK296" s="58"/>
      <c r="FL296" s="58"/>
      <c r="FM296" s="58"/>
    </row>
    <row r="297"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8"/>
      <c r="FE297" s="58"/>
      <c r="FF297" s="58"/>
      <c r="FG297" s="58"/>
      <c r="FH297" s="58"/>
      <c r="FI297" s="58"/>
      <c r="FJ297" s="58"/>
      <c r="FK297" s="58"/>
      <c r="FL297" s="58"/>
      <c r="FM297" s="58"/>
    </row>
    <row r="298"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8"/>
      <c r="FE298" s="58"/>
      <c r="FF298" s="58"/>
      <c r="FG298" s="58"/>
      <c r="FH298" s="58"/>
      <c r="FI298" s="58"/>
      <c r="FJ298" s="58"/>
      <c r="FK298" s="58"/>
      <c r="FL298" s="58"/>
      <c r="FM298" s="58"/>
    </row>
    <row r="299">
      <c r="ET299" s="58"/>
      <c r="EU299" s="58"/>
      <c r="EV299" s="58"/>
      <c r="EW299" s="58"/>
      <c r="EX299" s="58"/>
      <c r="EY299" s="58"/>
      <c r="EZ299" s="58"/>
      <c r="FA299" s="58"/>
      <c r="FB299" s="58"/>
      <c r="FC299" s="58"/>
      <c r="FD299" s="58"/>
      <c r="FE299" s="58"/>
      <c r="FF299" s="58"/>
      <c r="FG299" s="58"/>
      <c r="FH299" s="58"/>
      <c r="FI299" s="58"/>
      <c r="FJ299" s="58"/>
      <c r="FK299" s="58"/>
      <c r="FL299" s="58"/>
      <c r="FM299" s="58"/>
    </row>
    <row r="300"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8"/>
      <c r="FE300" s="58"/>
      <c r="FF300" s="58"/>
      <c r="FG300" s="58"/>
      <c r="FH300" s="58"/>
      <c r="FI300" s="58"/>
      <c r="FJ300" s="58"/>
      <c r="FK300" s="58"/>
      <c r="FL300" s="58"/>
      <c r="FM300" s="58"/>
    </row>
    <row r="301">
      <c r="ET301" s="58"/>
      <c r="EU301" s="58"/>
      <c r="EV301" s="58"/>
      <c r="EW301" s="58"/>
      <c r="EX301" s="58"/>
      <c r="EY301" s="58"/>
      <c r="EZ301" s="58"/>
      <c r="FA301" s="58"/>
      <c r="FB301" s="58"/>
      <c r="FC301" s="58"/>
      <c r="FD301" s="58"/>
      <c r="FE301" s="58"/>
      <c r="FF301" s="58"/>
      <c r="FG301" s="58"/>
      <c r="FH301" s="58"/>
      <c r="FI301" s="58"/>
      <c r="FJ301" s="58"/>
      <c r="FK301" s="58"/>
      <c r="FL301" s="58"/>
      <c r="FM301" s="58"/>
    </row>
    <row r="302"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8"/>
      <c r="FE302" s="58"/>
      <c r="FF302" s="58"/>
      <c r="FG302" s="58"/>
      <c r="FH302" s="58"/>
      <c r="FI302" s="58"/>
      <c r="FJ302" s="58"/>
      <c r="FK302" s="58"/>
      <c r="FL302" s="58"/>
      <c r="FM302" s="58"/>
    </row>
    <row r="303"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8"/>
      <c r="FE303" s="58"/>
      <c r="FF303" s="58"/>
      <c r="FG303" s="58"/>
      <c r="FH303" s="58"/>
      <c r="FI303" s="58"/>
      <c r="FJ303" s="58"/>
      <c r="FK303" s="58"/>
      <c r="FL303" s="58"/>
      <c r="FM303" s="58"/>
    </row>
    <row r="304"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8"/>
      <c r="FE304" s="58"/>
      <c r="FF304" s="58"/>
      <c r="FG304" s="58"/>
      <c r="FH304" s="58"/>
      <c r="FI304" s="58"/>
      <c r="FJ304" s="58"/>
      <c r="FK304" s="58"/>
      <c r="FL304" s="58"/>
      <c r="FM304" s="58"/>
    </row>
    <row r="305">
      <c r="ET305" s="58"/>
      <c r="EU305" s="58"/>
      <c r="EV305" s="58"/>
      <c r="EW305" s="58"/>
      <c r="EX305" s="58"/>
      <c r="EY305" s="58"/>
      <c r="EZ305" s="58"/>
      <c r="FA305" s="58"/>
      <c r="FB305" s="58"/>
      <c r="FC305" s="58"/>
      <c r="FD305" s="58"/>
      <c r="FE305" s="58"/>
      <c r="FF305" s="58"/>
      <c r="FG305" s="58"/>
      <c r="FH305" s="58"/>
      <c r="FI305" s="58"/>
      <c r="FJ305" s="58"/>
      <c r="FK305" s="58"/>
      <c r="FL305" s="58"/>
      <c r="FM305" s="58"/>
    </row>
    <row r="306"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8"/>
      <c r="FE306" s="58"/>
      <c r="FF306" s="58"/>
      <c r="FG306" s="58"/>
      <c r="FH306" s="58"/>
      <c r="FI306" s="58"/>
      <c r="FJ306" s="58"/>
      <c r="FK306" s="58"/>
      <c r="FL306" s="58"/>
      <c r="FM306" s="58"/>
    </row>
    <row r="307"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8"/>
      <c r="FE307" s="58"/>
      <c r="FF307" s="58"/>
      <c r="FG307" s="58"/>
      <c r="FH307" s="58"/>
      <c r="FI307" s="58"/>
      <c r="FJ307" s="58"/>
      <c r="FK307" s="58"/>
      <c r="FL307" s="58"/>
      <c r="FM307" s="58"/>
    </row>
    <row r="308"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8"/>
      <c r="FE308" s="58"/>
      <c r="FF308" s="58"/>
      <c r="FG308" s="58"/>
      <c r="FH308" s="58"/>
      <c r="FI308" s="58"/>
      <c r="FJ308" s="58"/>
      <c r="FK308" s="58"/>
      <c r="FL308" s="58"/>
      <c r="FM308" s="58"/>
    </row>
    <row r="309"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8"/>
      <c r="FE309" s="58"/>
      <c r="FF309" s="58"/>
      <c r="FG309" s="58"/>
      <c r="FH309" s="58"/>
      <c r="FI309" s="58"/>
      <c r="FJ309" s="58"/>
      <c r="FK309" s="58"/>
      <c r="FL309" s="58"/>
      <c r="FM309" s="58"/>
    </row>
    <row r="310">
      <c r="ET310" s="58"/>
      <c r="EU310" s="58"/>
      <c r="EV310" s="58"/>
      <c r="EW310" s="58"/>
      <c r="EX310" s="58"/>
      <c r="EY310" s="58"/>
      <c r="EZ310" s="58"/>
      <c r="FA310" s="58"/>
      <c r="FB310" s="58"/>
      <c r="FC310" s="58"/>
      <c r="FD310" s="58"/>
      <c r="FE310" s="58"/>
      <c r="FF310" s="58"/>
      <c r="FG310" s="58"/>
      <c r="FH310" s="58"/>
      <c r="FI310" s="58"/>
      <c r="FJ310" s="58"/>
      <c r="FK310" s="58"/>
      <c r="FL310" s="58"/>
      <c r="FM310" s="58"/>
    </row>
    <row r="311"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8"/>
      <c r="FE311" s="58"/>
      <c r="FF311" s="58"/>
      <c r="FG311" s="58"/>
      <c r="FH311" s="58"/>
      <c r="FI311" s="58"/>
      <c r="FJ311" s="58"/>
      <c r="FK311" s="58"/>
      <c r="FL311" s="58"/>
      <c r="FM311" s="58"/>
    </row>
    <row r="312">
      <c r="ET312" s="58"/>
      <c r="EU312" s="58"/>
      <c r="EV312" s="58"/>
      <c r="EW312" s="58"/>
      <c r="EX312" s="58"/>
      <c r="EY312" s="58"/>
      <c r="EZ312" s="58"/>
      <c r="FA312" s="58"/>
      <c r="FB312" s="58"/>
      <c r="FC312" s="58"/>
      <c r="FD312" s="58"/>
      <c r="FE312" s="58"/>
      <c r="FF312" s="58"/>
      <c r="FG312" s="58"/>
      <c r="FH312" s="58"/>
      <c r="FI312" s="58"/>
      <c r="FJ312" s="58"/>
      <c r="FK312" s="58"/>
      <c r="FL312" s="58"/>
      <c r="FM312" s="58"/>
    </row>
    <row r="313"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8"/>
      <c r="FE313" s="58"/>
      <c r="FF313" s="58"/>
      <c r="FG313" s="58"/>
      <c r="FH313" s="58"/>
      <c r="FI313" s="58"/>
      <c r="FJ313" s="58"/>
      <c r="FK313" s="58"/>
      <c r="FL313" s="58"/>
      <c r="FM313" s="58"/>
    </row>
    <row r="314"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8"/>
      <c r="FE314" s="58"/>
      <c r="FF314" s="58"/>
      <c r="FG314" s="58"/>
      <c r="FH314" s="58"/>
      <c r="FI314" s="58"/>
      <c r="FJ314" s="58"/>
      <c r="FK314" s="58"/>
      <c r="FL314" s="58"/>
      <c r="FM314" s="58"/>
    </row>
    <row r="315">
      <c r="ET315" s="58"/>
      <c r="EU315" s="58"/>
      <c r="EV315" s="58"/>
      <c r="EW315" s="58"/>
      <c r="EX315" s="58"/>
      <c r="EY315" s="58"/>
      <c r="EZ315" s="58"/>
      <c r="FA315" s="58"/>
      <c r="FB315" s="58"/>
      <c r="FC315" s="58"/>
      <c r="FD315" s="58"/>
      <c r="FE315" s="58"/>
      <c r="FF315" s="58"/>
      <c r="FG315" s="58"/>
      <c r="FH315" s="58"/>
      <c r="FI315" s="58"/>
      <c r="FJ315" s="58"/>
      <c r="FK315" s="58"/>
      <c r="FL315" s="58"/>
      <c r="FM315" s="58"/>
    </row>
    <row r="316">
      <c r="ET316" s="58"/>
      <c r="EU316" s="58"/>
      <c r="EV316" s="58"/>
      <c r="EW316" s="58"/>
      <c r="EX316" s="58"/>
      <c r="EY316" s="58"/>
      <c r="EZ316" s="58"/>
      <c r="FA316" s="58"/>
      <c r="FB316" s="58"/>
      <c r="FC316" s="58"/>
      <c r="FD316" s="58"/>
      <c r="FE316" s="58"/>
      <c r="FF316" s="58"/>
      <c r="FG316" s="58"/>
      <c r="FH316" s="58"/>
      <c r="FI316" s="58"/>
      <c r="FJ316" s="58"/>
      <c r="FK316" s="58"/>
      <c r="FL316" s="58"/>
      <c r="FM316" s="58"/>
    </row>
    <row r="317">
      <c r="ET317" s="58"/>
      <c r="EU317" s="58"/>
      <c r="EV317" s="58"/>
      <c r="EW317" s="58"/>
      <c r="EX317" s="58"/>
      <c r="EY317" s="58"/>
      <c r="EZ317" s="58"/>
      <c r="FA317" s="58"/>
      <c r="FB317" s="58"/>
      <c r="FC317" s="58"/>
      <c r="FD317" s="58"/>
      <c r="FE317" s="58"/>
      <c r="FF317" s="58"/>
      <c r="FG317" s="58"/>
      <c r="FH317" s="58"/>
      <c r="FI317" s="58"/>
      <c r="FJ317" s="58"/>
      <c r="FK317" s="58"/>
      <c r="FL317" s="58"/>
      <c r="FM317" s="58"/>
    </row>
    <row r="318">
      <c r="ET318" s="58"/>
      <c r="EU318" s="58"/>
      <c r="EV318" s="58"/>
      <c r="EW318" s="58"/>
      <c r="EX318" s="58"/>
      <c r="EY318" s="58"/>
      <c r="EZ318" s="58"/>
      <c r="FA318" s="58"/>
      <c r="FB318" s="58"/>
      <c r="FC318" s="58"/>
      <c r="FD318" s="58"/>
      <c r="FE318" s="58"/>
      <c r="FF318" s="58"/>
      <c r="FG318" s="58"/>
      <c r="FH318" s="58"/>
      <c r="FI318" s="58"/>
      <c r="FJ318" s="58"/>
      <c r="FK318" s="58"/>
      <c r="FL318" s="58"/>
      <c r="FM318" s="58"/>
    </row>
    <row r="319"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8"/>
      <c r="FE319" s="58"/>
      <c r="FF319" s="58"/>
      <c r="FG319" s="58"/>
      <c r="FH319" s="58"/>
      <c r="FI319" s="58"/>
      <c r="FJ319" s="58"/>
      <c r="FK319" s="58"/>
      <c r="FL319" s="58"/>
      <c r="FM319" s="58"/>
    </row>
    <row r="320">
      <c r="ET320" s="58"/>
      <c r="EU320" s="58"/>
      <c r="EV320" s="58"/>
      <c r="EW320" s="58"/>
      <c r="EX320" s="58"/>
      <c r="EY320" s="58"/>
      <c r="EZ320" s="58"/>
      <c r="FA320" s="58"/>
      <c r="FB320" s="58"/>
      <c r="FC320" s="58"/>
      <c r="FD320" s="58"/>
      <c r="FE320" s="58"/>
      <c r="FF320" s="58"/>
      <c r="FG320" s="58"/>
      <c r="FH320" s="58"/>
      <c r="FI320" s="58"/>
      <c r="FJ320" s="58"/>
      <c r="FK320" s="58"/>
      <c r="FL320" s="58"/>
      <c r="FM320" s="58"/>
    </row>
    <row r="321"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8"/>
      <c r="FE321" s="58"/>
      <c r="FF321" s="58"/>
      <c r="FG321" s="58"/>
      <c r="FH321" s="58"/>
      <c r="FI321" s="58"/>
      <c r="FJ321" s="58"/>
      <c r="FK321" s="58"/>
      <c r="FL321" s="58"/>
      <c r="FM321" s="58"/>
    </row>
    <row r="322">
      <c r="ET322" s="58"/>
      <c r="EU322" s="58"/>
      <c r="EV322" s="58"/>
      <c r="EW322" s="58"/>
      <c r="EX322" s="58"/>
      <c r="EY322" s="58"/>
      <c r="EZ322" s="58"/>
      <c r="FA322" s="58"/>
      <c r="FB322" s="58"/>
      <c r="FC322" s="58"/>
      <c r="FD322" s="58"/>
      <c r="FE322" s="58"/>
      <c r="FF322" s="58"/>
      <c r="FG322" s="58"/>
      <c r="FH322" s="58"/>
      <c r="FI322" s="58"/>
      <c r="FJ322" s="58"/>
      <c r="FK322" s="58"/>
      <c r="FL322" s="58"/>
      <c r="FM322" s="58"/>
    </row>
    <row r="323">
      <c r="ET323" s="58"/>
      <c r="EU323" s="58"/>
      <c r="EV323" s="58"/>
      <c r="EW323" s="58"/>
      <c r="EX323" s="58"/>
      <c r="EY323" s="58"/>
      <c r="EZ323" s="58"/>
      <c r="FA323" s="58"/>
      <c r="FB323" s="58"/>
      <c r="FC323" s="58"/>
      <c r="FD323" s="58"/>
      <c r="FE323" s="58"/>
      <c r="FF323" s="58"/>
      <c r="FG323" s="58"/>
      <c r="FH323" s="58"/>
      <c r="FI323" s="58"/>
      <c r="FJ323" s="58"/>
      <c r="FK323" s="58"/>
      <c r="FL323" s="58"/>
      <c r="FM323" s="58"/>
    </row>
    <row r="324"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8"/>
      <c r="FE324" s="58"/>
      <c r="FF324" s="58"/>
      <c r="FG324" s="58"/>
      <c r="FH324" s="58"/>
      <c r="FI324" s="58"/>
      <c r="FJ324" s="58"/>
      <c r="FK324" s="58"/>
      <c r="FL324" s="58"/>
      <c r="FM324" s="58"/>
    </row>
    <row r="325"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8"/>
      <c r="FE325" s="58"/>
      <c r="FF325" s="58"/>
      <c r="FG325" s="58"/>
      <c r="FH325" s="58"/>
      <c r="FI325" s="58"/>
      <c r="FJ325" s="58"/>
      <c r="FK325" s="58"/>
      <c r="FL325" s="58"/>
      <c r="FM325" s="58"/>
    </row>
    <row r="326">
      <c r="ET326" s="58"/>
      <c r="EU326" s="58"/>
      <c r="EV326" s="58"/>
      <c r="EW326" s="58"/>
      <c r="EX326" s="58"/>
      <c r="EY326" s="58"/>
      <c r="EZ326" s="58"/>
      <c r="FA326" s="58"/>
      <c r="FB326" s="58"/>
      <c r="FC326" s="58"/>
      <c r="FD326" s="58"/>
      <c r="FE326" s="58"/>
      <c r="FF326" s="58"/>
      <c r="FG326" s="58"/>
      <c r="FH326" s="58"/>
      <c r="FI326" s="58"/>
      <c r="FJ326" s="58"/>
      <c r="FK326" s="58"/>
      <c r="FL326" s="58"/>
      <c r="FM326" s="58"/>
    </row>
    <row r="327">
      <c r="ET327" s="58"/>
      <c r="EU327" s="58"/>
      <c r="EV327" s="58"/>
      <c r="EW327" s="58"/>
      <c r="EX327" s="58"/>
      <c r="EY327" s="58"/>
      <c r="EZ327" s="58"/>
      <c r="FA327" s="58"/>
      <c r="FB327" s="58"/>
      <c r="FC327" s="58"/>
      <c r="FD327" s="58"/>
      <c r="FE327" s="58"/>
      <c r="FF327" s="58"/>
      <c r="FG327" s="58"/>
      <c r="FH327" s="58"/>
      <c r="FI327" s="58"/>
      <c r="FJ327" s="58"/>
      <c r="FK327" s="58"/>
      <c r="FL327" s="58"/>
      <c r="FM327" s="58"/>
    </row>
    <row r="328">
      <c r="ET328" s="58"/>
      <c r="EU328" s="58"/>
      <c r="EV328" s="58"/>
      <c r="EW328" s="58"/>
      <c r="EX328" s="58"/>
      <c r="EY328" s="58"/>
      <c r="EZ328" s="58"/>
      <c r="FA328" s="58"/>
      <c r="FB328" s="58"/>
      <c r="FC328" s="58"/>
      <c r="FD328" s="58"/>
      <c r="FE328" s="58"/>
      <c r="FF328" s="58"/>
      <c r="FG328" s="58"/>
      <c r="FH328" s="58"/>
      <c r="FI328" s="58"/>
      <c r="FJ328" s="58"/>
      <c r="FK328" s="58"/>
      <c r="FL328" s="58"/>
      <c r="FM328" s="58"/>
    </row>
    <row r="329"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8"/>
      <c r="FE329" s="58"/>
      <c r="FF329" s="58"/>
      <c r="FG329" s="58"/>
      <c r="FH329" s="58"/>
      <c r="FI329" s="58"/>
      <c r="FJ329" s="58"/>
      <c r="FK329" s="58"/>
      <c r="FL329" s="58"/>
      <c r="FM329" s="58"/>
    </row>
    <row r="330">
      <c r="ET330" s="58"/>
      <c r="EU330" s="58"/>
      <c r="EV330" s="58"/>
      <c r="EW330" s="58"/>
      <c r="EX330" s="58"/>
      <c r="EY330" s="58"/>
      <c r="EZ330" s="58"/>
      <c r="FA330" s="58"/>
      <c r="FB330" s="58"/>
      <c r="FC330" s="58"/>
      <c r="FD330" s="58"/>
      <c r="FE330" s="58"/>
      <c r="FF330" s="58"/>
      <c r="FG330" s="58"/>
      <c r="FH330" s="58"/>
      <c r="FI330" s="58"/>
      <c r="FJ330" s="58"/>
      <c r="FK330" s="58"/>
      <c r="FL330" s="58"/>
      <c r="FM330" s="58"/>
    </row>
    <row r="331"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8"/>
      <c r="FE331" s="58"/>
      <c r="FF331" s="58"/>
      <c r="FG331" s="58"/>
      <c r="FH331" s="58"/>
      <c r="FI331" s="58"/>
      <c r="FJ331" s="58"/>
      <c r="FK331" s="58"/>
      <c r="FL331" s="58"/>
      <c r="FM331" s="58"/>
    </row>
    <row r="332">
      <c r="ET332" s="58"/>
      <c r="EU332" s="58"/>
      <c r="EV332" s="58"/>
      <c r="EW332" s="58"/>
      <c r="EX332" s="58"/>
      <c r="EY332" s="58"/>
      <c r="EZ332" s="58"/>
      <c r="FA332" s="58"/>
      <c r="FB332" s="58"/>
      <c r="FC332" s="58"/>
      <c r="FD332" s="58"/>
      <c r="FE332" s="58"/>
      <c r="FF332" s="58"/>
      <c r="FG332" s="58"/>
      <c r="FH332" s="58"/>
      <c r="FI332" s="58"/>
      <c r="FJ332" s="58"/>
      <c r="FK332" s="58"/>
      <c r="FL332" s="58"/>
      <c r="FM332" s="58"/>
    </row>
    <row r="333"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8"/>
      <c r="FE333" s="58"/>
      <c r="FF333" s="58"/>
      <c r="FG333" s="58"/>
      <c r="FH333" s="58"/>
      <c r="FI333" s="58"/>
      <c r="FJ333" s="58"/>
      <c r="FK333" s="58"/>
      <c r="FL333" s="58"/>
      <c r="FM333" s="58"/>
    </row>
    <row r="334">
      <c r="ET334" s="58"/>
      <c r="EU334" s="58"/>
      <c r="EV334" s="58"/>
      <c r="EW334" s="58"/>
      <c r="EX334" s="58"/>
      <c r="EY334" s="58"/>
      <c r="EZ334" s="58"/>
      <c r="FA334" s="58"/>
      <c r="FB334" s="58"/>
      <c r="FC334" s="58"/>
      <c r="FD334" s="58"/>
      <c r="FE334" s="58"/>
      <c r="FF334" s="58"/>
      <c r="FG334" s="58"/>
      <c r="FH334" s="58"/>
      <c r="FI334" s="58"/>
      <c r="FJ334" s="58"/>
      <c r="FK334" s="58"/>
      <c r="FL334" s="58"/>
      <c r="FM334" s="58"/>
    </row>
    <row r="335">
      <c r="ET335" s="58"/>
      <c r="EU335" s="58"/>
      <c r="EV335" s="58"/>
      <c r="EW335" s="58"/>
      <c r="EX335" s="58"/>
      <c r="EY335" s="58"/>
      <c r="EZ335" s="58"/>
      <c r="FA335" s="58"/>
      <c r="FB335" s="58"/>
      <c r="FC335" s="58"/>
      <c r="FD335" s="58"/>
      <c r="FE335" s="58"/>
      <c r="FF335" s="58"/>
      <c r="FG335" s="58"/>
      <c r="FH335" s="58"/>
      <c r="FI335" s="58"/>
      <c r="FJ335" s="58"/>
      <c r="FK335" s="58"/>
      <c r="FL335" s="58"/>
      <c r="FM335" s="58"/>
    </row>
    <row r="336">
      <c r="ET336" s="58"/>
      <c r="EU336" s="58"/>
      <c r="EV336" s="58"/>
      <c r="EW336" s="58"/>
      <c r="EX336" s="58"/>
      <c r="EY336" s="58"/>
      <c r="EZ336" s="58"/>
      <c r="FA336" s="58"/>
      <c r="FB336" s="58"/>
      <c r="FC336" s="58"/>
      <c r="FD336" s="58"/>
      <c r="FE336" s="58"/>
      <c r="FF336" s="58"/>
      <c r="FG336" s="58"/>
      <c r="FH336" s="58"/>
      <c r="FI336" s="58"/>
      <c r="FJ336" s="58"/>
      <c r="FK336" s="58"/>
      <c r="FL336" s="58"/>
      <c r="FM336" s="58"/>
    </row>
    <row r="337">
      <c r="ET337" s="58"/>
      <c r="EU337" s="58"/>
      <c r="EV337" s="58"/>
      <c r="EW337" s="58"/>
      <c r="EX337" s="58"/>
      <c r="EY337" s="58"/>
      <c r="EZ337" s="58"/>
      <c r="FA337" s="58"/>
      <c r="FB337" s="58"/>
      <c r="FC337" s="58"/>
      <c r="FD337" s="58"/>
      <c r="FE337" s="58"/>
      <c r="FF337" s="58"/>
      <c r="FG337" s="58"/>
      <c r="FH337" s="58"/>
      <c r="FI337" s="58"/>
      <c r="FJ337" s="58"/>
      <c r="FK337" s="58"/>
      <c r="FL337" s="58"/>
      <c r="FM337" s="58"/>
    </row>
    <row r="338">
      <c r="ET338" s="58"/>
      <c r="EU338" s="58"/>
      <c r="EV338" s="58"/>
      <c r="EW338" s="58"/>
      <c r="EX338" s="58"/>
      <c r="EY338" s="58"/>
      <c r="EZ338" s="58"/>
      <c r="FA338" s="58"/>
      <c r="FB338" s="58"/>
      <c r="FC338" s="58"/>
      <c r="FD338" s="58"/>
      <c r="FE338" s="58"/>
      <c r="FF338" s="58"/>
      <c r="FG338" s="58"/>
      <c r="FH338" s="58"/>
      <c r="FI338" s="58"/>
      <c r="FJ338" s="58"/>
      <c r="FK338" s="58"/>
      <c r="FL338" s="58"/>
      <c r="FM338" s="58"/>
    </row>
    <row r="339"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8"/>
      <c r="FE339" s="58"/>
      <c r="FF339" s="58"/>
      <c r="FG339" s="58"/>
      <c r="FH339" s="58"/>
      <c r="FI339" s="58"/>
      <c r="FJ339" s="58"/>
      <c r="FK339" s="58"/>
      <c r="FL339" s="58"/>
      <c r="FM339" s="58"/>
    </row>
    <row r="340"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8"/>
      <c r="FE340" s="58"/>
      <c r="FF340" s="58"/>
      <c r="FG340" s="58"/>
      <c r="FH340" s="58"/>
      <c r="FI340" s="58"/>
      <c r="FJ340" s="58"/>
      <c r="FK340" s="58"/>
      <c r="FL340" s="58"/>
      <c r="FM340" s="58"/>
    </row>
    <row r="341"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8"/>
      <c r="FE341" s="58"/>
      <c r="FF341" s="58"/>
      <c r="FG341" s="58"/>
      <c r="FH341" s="58"/>
      <c r="FI341" s="58"/>
      <c r="FJ341" s="58"/>
      <c r="FK341" s="58"/>
      <c r="FL341" s="58"/>
      <c r="FM341" s="58"/>
    </row>
    <row r="342">
      <c r="ET342" s="58"/>
      <c r="EU342" s="58"/>
      <c r="EV342" s="58"/>
      <c r="EW342" s="58"/>
      <c r="EX342" s="58"/>
      <c r="EY342" s="58"/>
      <c r="EZ342" s="58"/>
      <c r="FA342" s="58"/>
      <c r="FB342" s="58"/>
      <c r="FC342" s="58"/>
      <c r="FD342" s="58"/>
      <c r="FE342" s="58"/>
      <c r="FF342" s="58"/>
      <c r="FG342" s="58"/>
      <c r="FH342" s="58"/>
      <c r="FI342" s="58"/>
      <c r="FJ342" s="58"/>
      <c r="FK342" s="58"/>
      <c r="FL342" s="58"/>
      <c r="FM342" s="58"/>
    </row>
    <row r="343"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8"/>
      <c r="FE343" s="58"/>
      <c r="FF343" s="58"/>
      <c r="FG343" s="58"/>
      <c r="FH343" s="58"/>
      <c r="FI343" s="58"/>
      <c r="FJ343" s="58"/>
      <c r="FK343" s="58"/>
      <c r="FL343" s="58"/>
      <c r="FM343" s="58"/>
    </row>
    <row r="344"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8"/>
      <c r="FE344" s="58"/>
      <c r="FF344" s="58"/>
      <c r="FG344" s="58"/>
      <c r="FH344" s="58"/>
      <c r="FI344" s="58"/>
      <c r="FJ344" s="58"/>
      <c r="FK344" s="58"/>
      <c r="FL344" s="58"/>
      <c r="FM344" s="58"/>
    </row>
    <row r="345">
      <c r="ET345" s="58"/>
      <c r="EU345" s="58"/>
      <c r="EV345" s="58"/>
      <c r="EW345" s="58"/>
      <c r="EX345" s="58"/>
      <c r="EY345" s="58"/>
      <c r="EZ345" s="58"/>
      <c r="FA345" s="58"/>
      <c r="FB345" s="58"/>
      <c r="FC345" s="58"/>
      <c r="FD345" s="58"/>
      <c r="FE345" s="58"/>
      <c r="FF345" s="58"/>
      <c r="FG345" s="58"/>
      <c r="FH345" s="58"/>
      <c r="FI345" s="58"/>
      <c r="FJ345" s="58"/>
      <c r="FK345" s="58"/>
      <c r="FL345" s="58"/>
      <c r="FM345" s="58"/>
    </row>
    <row r="346"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8"/>
      <c r="FE346" s="58"/>
      <c r="FF346" s="58"/>
      <c r="FG346" s="58"/>
      <c r="FH346" s="58"/>
      <c r="FI346" s="58"/>
      <c r="FJ346" s="58"/>
      <c r="FK346" s="58"/>
      <c r="FL346" s="58"/>
      <c r="FM346" s="58"/>
    </row>
    <row r="347"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8"/>
      <c r="FE347" s="58"/>
      <c r="FF347" s="58"/>
      <c r="FG347" s="58"/>
      <c r="FH347" s="58"/>
      <c r="FI347" s="58"/>
      <c r="FJ347" s="58"/>
      <c r="FK347" s="58"/>
      <c r="FL347" s="58"/>
      <c r="FM347" s="58"/>
    </row>
    <row r="348">
      <c r="ET348" s="58"/>
      <c r="EU348" s="58"/>
      <c r="EV348" s="58"/>
      <c r="EW348" s="58"/>
      <c r="EX348" s="58"/>
      <c r="EY348" s="58"/>
      <c r="EZ348" s="58"/>
      <c r="FA348" s="58"/>
      <c r="FB348" s="58"/>
      <c r="FC348" s="58"/>
      <c r="FD348" s="58"/>
      <c r="FE348" s="58"/>
      <c r="FF348" s="58"/>
      <c r="FG348" s="58"/>
      <c r="FH348" s="58"/>
      <c r="FI348" s="58"/>
      <c r="FJ348" s="58"/>
      <c r="FK348" s="58"/>
      <c r="FL348" s="58"/>
      <c r="FM348" s="58"/>
    </row>
    <row r="349">
      <c r="ET349" s="58"/>
      <c r="EU349" s="58"/>
      <c r="EV349" s="58"/>
      <c r="EW349" s="58"/>
      <c r="EX349" s="58"/>
      <c r="EY349" s="58"/>
      <c r="EZ349" s="58"/>
      <c r="FA349" s="58"/>
      <c r="FB349" s="58"/>
      <c r="FC349" s="58"/>
      <c r="FD349" s="58"/>
      <c r="FE349" s="58"/>
      <c r="FF349" s="58"/>
      <c r="FG349" s="58"/>
      <c r="FH349" s="58"/>
      <c r="FI349" s="58"/>
      <c r="FJ349" s="58"/>
      <c r="FK349" s="58"/>
      <c r="FL349" s="58"/>
      <c r="FM349" s="58"/>
    </row>
    <row r="350">
      <c r="ET350" s="58"/>
      <c r="EU350" s="58"/>
      <c r="EV350" s="58"/>
      <c r="EW350" s="58"/>
      <c r="EX350" s="58"/>
      <c r="EY350" s="58"/>
      <c r="EZ350" s="58"/>
      <c r="FA350" s="58"/>
      <c r="FB350" s="58"/>
      <c r="FC350" s="58"/>
      <c r="FD350" s="58"/>
      <c r="FE350" s="58"/>
      <c r="FF350" s="58"/>
      <c r="FG350" s="58"/>
      <c r="FH350" s="58"/>
      <c r="FI350" s="58"/>
      <c r="FJ350" s="58"/>
      <c r="FK350" s="58"/>
      <c r="FL350" s="58"/>
      <c r="FM350" s="58"/>
    </row>
    <row r="351"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8"/>
      <c r="FE351" s="58"/>
      <c r="FF351" s="58"/>
      <c r="FG351" s="58"/>
      <c r="FH351" s="58"/>
      <c r="FI351" s="58"/>
      <c r="FJ351" s="58"/>
      <c r="FK351" s="58"/>
      <c r="FL351" s="58"/>
      <c r="FM351" s="58"/>
    </row>
    <row r="352"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8"/>
      <c r="FE352" s="58"/>
      <c r="FF352" s="58"/>
      <c r="FG352" s="58"/>
      <c r="FH352" s="58"/>
      <c r="FI352" s="58"/>
      <c r="FJ352" s="58"/>
      <c r="FK352" s="58"/>
      <c r="FL352" s="58"/>
      <c r="FM352" s="58"/>
    </row>
    <row r="353">
      <c r="ET353" s="58"/>
      <c r="EU353" s="58"/>
      <c r="EV353" s="58"/>
      <c r="EW353" s="58"/>
      <c r="EX353" s="58"/>
      <c r="EY353" s="58"/>
      <c r="EZ353" s="58"/>
      <c r="FA353" s="58"/>
      <c r="FB353" s="58"/>
      <c r="FC353" s="58"/>
      <c r="FD353" s="58"/>
      <c r="FE353" s="58"/>
      <c r="FF353" s="58"/>
      <c r="FG353" s="58"/>
      <c r="FH353" s="58"/>
      <c r="FI353" s="58"/>
      <c r="FJ353" s="58"/>
      <c r="FK353" s="58"/>
      <c r="FL353" s="58"/>
      <c r="FM353" s="58"/>
    </row>
    <row r="354"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8"/>
      <c r="FE354" s="58"/>
      <c r="FF354" s="58"/>
      <c r="FG354" s="58"/>
      <c r="FH354" s="58"/>
      <c r="FI354" s="58"/>
      <c r="FJ354" s="58"/>
      <c r="FK354" s="58"/>
      <c r="FL354" s="58"/>
      <c r="FM354" s="58"/>
    </row>
    <row r="355"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8"/>
      <c r="FE355" s="58"/>
      <c r="FF355" s="58"/>
      <c r="FG355" s="58"/>
      <c r="FH355" s="58"/>
      <c r="FI355" s="58"/>
      <c r="FJ355" s="58"/>
      <c r="FK355" s="58"/>
      <c r="FL355" s="58"/>
      <c r="FM355" s="58"/>
    </row>
    <row r="356"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8"/>
      <c r="FE356" s="58"/>
      <c r="FF356" s="58"/>
      <c r="FG356" s="58"/>
      <c r="FH356" s="58"/>
      <c r="FI356" s="58"/>
      <c r="FJ356" s="58"/>
      <c r="FK356" s="58"/>
      <c r="FL356" s="58"/>
      <c r="FM356" s="58"/>
    </row>
    <row r="357"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8"/>
      <c r="FE357" s="58"/>
      <c r="FF357" s="58"/>
      <c r="FG357" s="58"/>
      <c r="FH357" s="58"/>
      <c r="FI357" s="58"/>
      <c r="FJ357" s="58"/>
      <c r="FK357" s="58"/>
      <c r="FL357" s="58"/>
      <c r="FM357" s="58"/>
    </row>
    <row r="358"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8"/>
      <c r="FE358" s="58"/>
      <c r="FF358" s="58"/>
      <c r="FG358" s="58"/>
      <c r="FH358" s="58"/>
      <c r="FI358" s="58"/>
      <c r="FJ358" s="58"/>
      <c r="FK358" s="58"/>
      <c r="FL358" s="58"/>
      <c r="FM358" s="58"/>
    </row>
    <row r="359">
      <c r="ET359" s="58"/>
      <c r="EU359" s="58"/>
      <c r="EV359" s="58"/>
      <c r="EW359" s="58"/>
      <c r="EX359" s="58"/>
      <c r="EY359" s="58"/>
      <c r="EZ359" s="58"/>
      <c r="FA359" s="58"/>
      <c r="FB359" s="58"/>
      <c r="FC359" s="58"/>
      <c r="FD359" s="58"/>
      <c r="FE359" s="58"/>
      <c r="FF359" s="58"/>
      <c r="FG359" s="58"/>
      <c r="FH359" s="58"/>
      <c r="FI359" s="58"/>
      <c r="FJ359" s="58"/>
      <c r="FK359" s="58"/>
      <c r="FL359" s="58"/>
      <c r="FM359" s="58"/>
    </row>
    <row r="360">
      <c r="ET360" s="58"/>
      <c r="EU360" s="58"/>
      <c r="EV360" s="58"/>
      <c r="EW360" s="58"/>
      <c r="EX360" s="58"/>
      <c r="EY360" s="58"/>
      <c r="EZ360" s="58"/>
      <c r="FA360" s="58"/>
      <c r="FB360" s="58"/>
      <c r="FC360" s="58"/>
      <c r="FD360" s="58"/>
      <c r="FE360" s="58"/>
      <c r="FF360" s="58"/>
      <c r="FG360" s="58"/>
      <c r="FH360" s="58"/>
      <c r="FI360" s="58"/>
      <c r="FJ360" s="58"/>
      <c r="FK360" s="58"/>
      <c r="FL360" s="58"/>
      <c r="FM360" s="58"/>
    </row>
    <row r="361"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8"/>
      <c r="FE361" s="58"/>
      <c r="FF361" s="58"/>
      <c r="FG361" s="58"/>
      <c r="FH361" s="58"/>
      <c r="FI361" s="58"/>
      <c r="FJ361" s="58"/>
      <c r="FK361" s="58"/>
      <c r="FL361" s="58"/>
      <c r="FM361" s="58"/>
    </row>
    <row r="362"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8"/>
      <c r="FE362" s="58"/>
      <c r="FF362" s="58"/>
      <c r="FG362" s="58"/>
      <c r="FH362" s="58"/>
      <c r="FI362" s="58"/>
      <c r="FJ362" s="58"/>
      <c r="FK362" s="58"/>
      <c r="FL362" s="58"/>
      <c r="FM362" s="58"/>
    </row>
    <row r="363"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8"/>
      <c r="FE363" s="58"/>
      <c r="FF363" s="58"/>
      <c r="FG363" s="58"/>
      <c r="FH363" s="58"/>
      <c r="FI363" s="58"/>
      <c r="FJ363" s="58"/>
      <c r="FK363" s="58"/>
      <c r="FL363" s="58"/>
      <c r="FM363" s="58"/>
    </row>
    <row r="364">
      <c r="ET364" s="58"/>
      <c r="EU364" s="58"/>
      <c r="EV364" s="58"/>
      <c r="EW364" s="58"/>
      <c r="EX364" s="58"/>
      <c r="EY364" s="58"/>
      <c r="EZ364" s="58"/>
      <c r="FA364" s="58"/>
      <c r="FB364" s="58"/>
      <c r="FC364" s="58"/>
      <c r="FD364" s="58"/>
      <c r="FE364" s="58"/>
      <c r="FF364" s="58"/>
      <c r="FG364" s="58"/>
      <c r="FH364" s="58"/>
      <c r="FI364" s="58"/>
      <c r="FJ364" s="58"/>
      <c r="FK364" s="58"/>
      <c r="FL364" s="58"/>
      <c r="FM364" s="58"/>
    </row>
    <row r="365"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8"/>
      <c r="FE365" s="58"/>
      <c r="FF365" s="58"/>
      <c r="FG365" s="58"/>
      <c r="FH365" s="58"/>
      <c r="FI365" s="58"/>
      <c r="FJ365" s="58"/>
      <c r="FK365" s="58"/>
      <c r="FL365" s="58"/>
      <c r="FM365" s="58"/>
    </row>
    <row r="366"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8"/>
      <c r="FE366" s="58"/>
      <c r="FF366" s="58"/>
      <c r="FG366" s="58"/>
      <c r="FH366" s="58"/>
      <c r="FI366" s="58"/>
      <c r="FJ366" s="58"/>
      <c r="FK366" s="58"/>
      <c r="FL366" s="58"/>
      <c r="FM366" s="58"/>
    </row>
    <row r="367"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8"/>
      <c r="FE367" s="58"/>
      <c r="FF367" s="58"/>
      <c r="FG367" s="58"/>
      <c r="FH367" s="58"/>
      <c r="FI367" s="58"/>
      <c r="FJ367" s="58"/>
      <c r="FK367" s="58"/>
      <c r="FL367" s="58"/>
      <c r="FM367" s="58"/>
    </row>
    <row r="368">
      <c r="ET368" s="58"/>
      <c r="EU368" s="58"/>
      <c r="EV368" s="58"/>
      <c r="EW368" s="58"/>
      <c r="EX368" s="58"/>
      <c r="EY368" s="58"/>
      <c r="EZ368" s="58"/>
      <c r="FA368" s="58"/>
      <c r="FB368" s="58"/>
      <c r="FC368" s="58"/>
      <c r="FD368" s="58"/>
      <c r="FE368" s="58"/>
      <c r="FF368" s="58"/>
      <c r="FG368" s="58"/>
      <c r="FH368" s="58"/>
      <c r="FI368" s="58"/>
      <c r="FJ368" s="58"/>
      <c r="FK368" s="58"/>
      <c r="FL368" s="58"/>
      <c r="FM368" s="58"/>
    </row>
    <row r="369"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8"/>
      <c r="FE369" s="58"/>
      <c r="FF369" s="58"/>
      <c r="FG369" s="58"/>
      <c r="FH369" s="58"/>
      <c r="FI369" s="58"/>
      <c r="FJ369" s="58"/>
      <c r="FK369" s="58"/>
      <c r="FL369" s="58"/>
      <c r="FM369" s="58"/>
    </row>
    <row r="370"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8"/>
      <c r="FE370" s="58"/>
      <c r="FF370" s="58"/>
      <c r="FG370" s="58"/>
      <c r="FH370" s="58"/>
      <c r="FI370" s="58"/>
      <c r="FJ370" s="58"/>
      <c r="FK370" s="58"/>
      <c r="FL370" s="58"/>
      <c r="FM370" s="58"/>
    </row>
    <row r="371"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8"/>
      <c r="FE371" s="58"/>
      <c r="FF371" s="58"/>
      <c r="FG371" s="58"/>
      <c r="FH371" s="58"/>
      <c r="FI371" s="58"/>
      <c r="FJ371" s="58"/>
      <c r="FK371" s="58"/>
      <c r="FL371" s="58"/>
      <c r="FM371" s="58"/>
    </row>
    <row r="372">
      <c r="ET372" s="58"/>
      <c r="EU372" s="58"/>
      <c r="EV372" s="58"/>
      <c r="EW372" s="58"/>
      <c r="EX372" s="58"/>
      <c r="EY372" s="58"/>
      <c r="EZ372" s="58"/>
      <c r="FA372" s="58"/>
      <c r="FB372" s="58"/>
      <c r="FC372" s="58"/>
      <c r="FD372" s="58"/>
      <c r="FE372" s="58"/>
      <c r="FF372" s="58"/>
      <c r="FG372" s="58"/>
      <c r="FH372" s="58"/>
      <c r="FI372" s="58"/>
      <c r="FJ372" s="58"/>
      <c r="FK372" s="58"/>
      <c r="FL372" s="58"/>
      <c r="FM372" s="58"/>
    </row>
    <row r="373"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8"/>
      <c r="FE373" s="58"/>
      <c r="FF373" s="58"/>
      <c r="FG373" s="58"/>
      <c r="FH373" s="58"/>
      <c r="FI373" s="58"/>
      <c r="FJ373" s="58"/>
      <c r="FK373" s="58"/>
      <c r="FL373" s="58"/>
      <c r="FM373" s="58"/>
    </row>
    <row r="374"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8"/>
      <c r="FE374" s="58"/>
      <c r="FF374" s="58"/>
      <c r="FG374" s="58"/>
      <c r="FH374" s="58"/>
      <c r="FI374" s="58"/>
      <c r="FJ374" s="58"/>
      <c r="FK374" s="58"/>
      <c r="FL374" s="58"/>
      <c r="FM374" s="58"/>
    </row>
    <row r="375"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8"/>
      <c r="FE375" s="58"/>
      <c r="FF375" s="58"/>
      <c r="FG375" s="58"/>
      <c r="FH375" s="58"/>
      <c r="FI375" s="58"/>
      <c r="FJ375" s="58"/>
      <c r="FK375" s="58"/>
      <c r="FL375" s="58"/>
      <c r="FM375" s="58"/>
    </row>
    <row r="376"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8"/>
      <c r="FE376" s="58"/>
      <c r="FF376" s="58"/>
      <c r="FG376" s="58"/>
      <c r="FH376" s="58"/>
      <c r="FI376" s="58"/>
      <c r="FJ376" s="58"/>
      <c r="FK376" s="58"/>
      <c r="FL376" s="58"/>
      <c r="FM376" s="58"/>
    </row>
    <row r="377"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8"/>
      <c r="FE377" s="58"/>
      <c r="FF377" s="58"/>
      <c r="FG377" s="58"/>
      <c r="FH377" s="58"/>
      <c r="FI377" s="58"/>
      <c r="FJ377" s="58"/>
      <c r="FK377" s="58"/>
      <c r="FL377" s="58"/>
      <c r="FM377" s="58"/>
    </row>
    <row r="378"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8"/>
      <c r="FE378" s="58"/>
      <c r="FF378" s="58"/>
      <c r="FG378" s="58"/>
      <c r="FH378" s="58"/>
      <c r="FI378" s="58"/>
      <c r="FJ378" s="58"/>
      <c r="FK378" s="58"/>
      <c r="FL378" s="58"/>
      <c r="FM378" s="58"/>
    </row>
    <row r="379"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8"/>
      <c r="FE379" s="58"/>
      <c r="FF379" s="58"/>
      <c r="FG379" s="58"/>
      <c r="FH379" s="58"/>
      <c r="FI379" s="58"/>
      <c r="FJ379" s="58"/>
      <c r="FK379" s="58"/>
      <c r="FL379" s="58"/>
      <c r="FM379" s="58"/>
    </row>
    <row r="380"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8"/>
      <c r="FE380" s="58"/>
      <c r="FF380" s="58"/>
      <c r="FG380" s="58"/>
      <c r="FH380" s="58"/>
      <c r="FI380" s="58"/>
      <c r="FJ380" s="58"/>
      <c r="FK380" s="58"/>
      <c r="FL380" s="58"/>
      <c r="FM380" s="58"/>
    </row>
    <row r="381">
      <c r="ET381" s="58"/>
      <c r="EU381" s="58"/>
      <c r="EV381" s="58"/>
      <c r="EW381" s="58"/>
      <c r="EX381" s="58"/>
      <c r="EY381" s="58"/>
      <c r="EZ381" s="58"/>
      <c r="FA381" s="58"/>
      <c r="FB381" s="58"/>
      <c r="FC381" s="58"/>
      <c r="FD381" s="58"/>
      <c r="FE381" s="58"/>
      <c r="FF381" s="58"/>
      <c r="FG381" s="58"/>
      <c r="FH381" s="58"/>
      <c r="FI381" s="58"/>
      <c r="FJ381" s="58"/>
      <c r="FK381" s="58"/>
      <c r="FL381" s="58"/>
      <c r="FM381" s="58"/>
    </row>
    <row r="382"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8"/>
      <c r="FE382" s="58"/>
      <c r="FF382" s="58"/>
      <c r="FG382" s="58"/>
      <c r="FH382" s="58"/>
      <c r="FI382" s="58"/>
      <c r="FJ382" s="58"/>
      <c r="FK382" s="58"/>
      <c r="FL382" s="58"/>
      <c r="FM382" s="58"/>
    </row>
    <row r="383"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8"/>
      <c r="FE383" s="58"/>
      <c r="FF383" s="58"/>
      <c r="FG383" s="58"/>
      <c r="FH383" s="58"/>
      <c r="FI383" s="58"/>
      <c r="FJ383" s="58"/>
      <c r="FK383" s="58"/>
      <c r="FL383" s="58"/>
      <c r="FM383" s="58"/>
    </row>
    <row r="384"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8"/>
      <c r="FE384" s="58"/>
      <c r="FF384" s="58"/>
      <c r="FG384" s="58"/>
      <c r="FH384" s="58"/>
      <c r="FI384" s="58"/>
      <c r="FJ384" s="58"/>
      <c r="FK384" s="58"/>
      <c r="FL384" s="58"/>
      <c r="FM384" s="58"/>
    </row>
    <row r="385"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8"/>
      <c r="FE385" s="58"/>
      <c r="FF385" s="58"/>
      <c r="FG385" s="58"/>
      <c r="FH385" s="58"/>
      <c r="FI385" s="58"/>
      <c r="FJ385" s="58"/>
      <c r="FK385" s="58"/>
      <c r="FL385" s="58"/>
      <c r="FM385" s="58"/>
    </row>
    <row r="386">
      <c r="ET386" s="58"/>
      <c r="EU386" s="58"/>
      <c r="EV386" s="58"/>
      <c r="EW386" s="58"/>
      <c r="EX386" s="58"/>
      <c r="EY386" s="58"/>
      <c r="EZ386" s="58"/>
      <c r="FA386" s="58"/>
      <c r="FB386" s="58"/>
      <c r="FC386" s="58"/>
      <c r="FD386" s="58"/>
      <c r="FE386" s="58"/>
      <c r="FF386" s="58"/>
      <c r="FG386" s="58"/>
      <c r="FH386" s="58"/>
      <c r="FI386" s="58"/>
      <c r="FJ386" s="58"/>
      <c r="FK386" s="58"/>
      <c r="FL386" s="58"/>
      <c r="FM386" s="58"/>
    </row>
    <row r="387"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8"/>
      <c r="FE387" s="58"/>
      <c r="FF387" s="58"/>
      <c r="FG387" s="58"/>
      <c r="FH387" s="58"/>
      <c r="FI387" s="58"/>
      <c r="FJ387" s="58"/>
      <c r="FK387" s="58"/>
      <c r="FL387" s="58"/>
      <c r="FM387" s="58"/>
    </row>
    <row r="388">
      <c r="ET388" s="58"/>
      <c r="EU388" s="58"/>
      <c r="EV388" s="58"/>
      <c r="EW388" s="58"/>
      <c r="EX388" s="58"/>
      <c r="EY388" s="58"/>
      <c r="EZ388" s="58"/>
      <c r="FA388" s="58"/>
      <c r="FB388" s="58"/>
      <c r="FC388" s="58"/>
      <c r="FD388" s="58"/>
      <c r="FE388" s="58"/>
      <c r="FF388" s="58"/>
      <c r="FG388" s="58"/>
      <c r="FH388" s="58"/>
      <c r="FI388" s="58"/>
      <c r="FJ388" s="58"/>
      <c r="FK388" s="58"/>
      <c r="FL388" s="58"/>
      <c r="FM388" s="58"/>
    </row>
    <row r="389"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8"/>
      <c r="FE389" s="58"/>
      <c r="FF389" s="58"/>
      <c r="FG389" s="58"/>
      <c r="FH389" s="58"/>
      <c r="FI389" s="58"/>
      <c r="FJ389" s="58"/>
      <c r="FK389" s="58"/>
      <c r="FL389" s="58"/>
      <c r="FM389" s="58"/>
    </row>
    <row r="390"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8"/>
      <c r="FE390" s="58"/>
      <c r="FF390" s="58"/>
      <c r="FG390" s="58"/>
      <c r="FH390" s="58"/>
      <c r="FI390" s="58"/>
      <c r="FJ390" s="58"/>
      <c r="FK390" s="58"/>
      <c r="FL390" s="58"/>
      <c r="FM390" s="58"/>
    </row>
    <row r="391"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8"/>
      <c r="FE391" s="58"/>
      <c r="FF391" s="58"/>
      <c r="FG391" s="58"/>
      <c r="FH391" s="58"/>
      <c r="FI391" s="58"/>
      <c r="FJ391" s="58"/>
      <c r="FK391" s="58"/>
      <c r="FL391" s="58"/>
      <c r="FM391" s="58"/>
    </row>
    <row r="392"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8"/>
      <c r="FE392" s="58"/>
      <c r="FF392" s="58"/>
      <c r="FG392" s="58"/>
      <c r="FH392" s="58"/>
      <c r="FI392" s="58"/>
      <c r="FJ392" s="58"/>
      <c r="FK392" s="58"/>
      <c r="FL392" s="58"/>
      <c r="FM392" s="58"/>
    </row>
    <row r="393"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8"/>
      <c r="FE393" s="58"/>
      <c r="FF393" s="58"/>
      <c r="FG393" s="58"/>
      <c r="FH393" s="58"/>
      <c r="FI393" s="58"/>
      <c r="FJ393" s="58"/>
      <c r="FK393" s="58"/>
      <c r="FL393" s="58"/>
      <c r="FM393" s="58"/>
    </row>
    <row r="394">
      <c r="ET394" s="58"/>
      <c r="EU394" s="58"/>
      <c r="EV394" s="58"/>
      <c r="EW394" s="58"/>
      <c r="EX394" s="58"/>
      <c r="EY394" s="58"/>
      <c r="EZ394" s="58"/>
      <c r="FA394" s="58"/>
      <c r="FB394" s="58"/>
      <c r="FC394" s="58"/>
      <c r="FD394" s="58"/>
      <c r="FE394" s="58"/>
      <c r="FF394" s="58"/>
      <c r="FG394" s="58"/>
      <c r="FH394" s="58"/>
      <c r="FI394" s="58"/>
      <c r="FJ394" s="58"/>
      <c r="FK394" s="58"/>
      <c r="FL394" s="58"/>
      <c r="FM394" s="58"/>
    </row>
    <row r="395"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8"/>
      <c r="FE395" s="58"/>
      <c r="FF395" s="58"/>
      <c r="FG395" s="58"/>
      <c r="FH395" s="58"/>
      <c r="FI395" s="58"/>
      <c r="FJ395" s="58"/>
      <c r="FK395" s="58"/>
      <c r="FL395" s="58"/>
      <c r="FM395" s="58"/>
    </row>
    <row r="396"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8"/>
      <c r="FE396" s="58"/>
      <c r="FF396" s="58"/>
      <c r="FG396" s="58"/>
      <c r="FH396" s="58"/>
      <c r="FI396" s="58"/>
      <c r="FJ396" s="58"/>
      <c r="FK396" s="58"/>
      <c r="FL396" s="58"/>
      <c r="FM396" s="58"/>
    </row>
    <row r="397"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8"/>
      <c r="FE397" s="58"/>
      <c r="FF397" s="58"/>
      <c r="FG397" s="58"/>
      <c r="FH397" s="58"/>
      <c r="FI397" s="58"/>
      <c r="FJ397" s="58"/>
      <c r="FK397" s="58"/>
      <c r="FL397" s="58"/>
      <c r="FM397" s="58"/>
    </row>
    <row r="398"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8"/>
      <c r="FE398" s="58"/>
      <c r="FF398" s="58"/>
      <c r="FG398" s="58"/>
      <c r="FH398" s="58"/>
      <c r="FI398" s="58"/>
      <c r="FJ398" s="58"/>
      <c r="FK398" s="58"/>
      <c r="FL398" s="58"/>
      <c r="FM398" s="58"/>
    </row>
    <row r="399"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8"/>
      <c r="FE399" s="58"/>
      <c r="FF399" s="58"/>
      <c r="FG399" s="58"/>
      <c r="FH399" s="58"/>
      <c r="FI399" s="58"/>
      <c r="FJ399" s="58"/>
      <c r="FK399" s="58"/>
      <c r="FL399" s="58"/>
      <c r="FM399" s="58"/>
    </row>
    <row r="400"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8"/>
      <c r="FE400" s="58"/>
      <c r="FF400" s="58"/>
      <c r="FG400" s="58"/>
      <c r="FH400" s="58"/>
      <c r="FI400" s="58"/>
      <c r="FJ400" s="58"/>
      <c r="FK400" s="58"/>
      <c r="FL400" s="58"/>
      <c r="FM400" s="58"/>
    </row>
    <row r="401"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8"/>
      <c r="FE401" s="58"/>
      <c r="FF401" s="58"/>
      <c r="FG401" s="58"/>
      <c r="FH401" s="58"/>
      <c r="FI401" s="58"/>
      <c r="FJ401" s="58"/>
      <c r="FK401" s="58"/>
      <c r="FL401" s="58"/>
      <c r="FM401" s="58"/>
    </row>
    <row r="402"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8"/>
      <c r="FE402" s="58"/>
      <c r="FF402" s="58"/>
      <c r="FG402" s="58"/>
      <c r="FH402" s="58"/>
      <c r="FI402" s="58"/>
      <c r="FJ402" s="58"/>
      <c r="FK402" s="58"/>
      <c r="FL402" s="58"/>
      <c r="FM402" s="58"/>
    </row>
    <row r="403">
      <c r="ET403" s="58"/>
      <c r="EU403" s="58"/>
      <c r="EV403" s="58"/>
      <c r="EW403" s="58"/>
      <c r="EX403" s="58"/>
      <c r="EY403" s="58"/>
      <c r="EZ403" s="58"/>
      <c r="FA403" s="58"/>
      <c r="FB403" s="58"/>
      <c r="FC403" s="58"/>
      <c r="FD403" s="58"/>
      <c r="FE403" s="58"/>
      <c r="FF403" s="58"/>
      <c r="FG403" s="58"/>
      <c r="FH403" s="58"/>
      <c r="FI403" s="58"/>
      <c r="FJ403" s="58"/>
      <c r="FK403" s="58"/>
      <c r="FL403" s="58"/>
      <c r="FM403" s="58"/>
    </row>
    <row r="404">
      <c r="ET404" s="58"/>
      <c r="EU404" s="58"/>
      <c r="EV404" s="58"/>
      <c r="EW404" s="58"/>
      <c r="EX404" s="58"/>
      <c r="EY404" s="58"/>
      <c r="EZ404" s="58"/>
      <c r="FA404" s="58"/>
      <c r="FB404" s="58"/>
      <c r="FC404" s="58"/>
      <c r="FD404" s="58"/>
      <c r="FE404" s="58"/>
      <c r="FF404" s="58"/>
      <c r="FG404" s="58"/>
      <c r="FH404" s="58"/>
      <c r="FI404" s="58"/>
      <c r="FJ404" s="58"/>
      <c r="FK404" s="58"/>
      <c r="FL404" s="58"/>
      <c r="FM404" s="58"/>
    </row>
    <row r="405"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8"/>
      <c r="FE405" s="58"/>
      <c r="FF405" s="58"/>
      <c r="FG405" s="58"/>
      <c r="FH405" s="58"/>
      <c r="FI405" s="58"/>
      <c r="FJ405" s="58"/>
      <c r="FK405" s="58"/>
      <c r="FL405" s="58"/>
      <c r="FM405" s="58"/>
    </row>
    <row r="406"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8"/>
      <c r="FE406" s="58"/>
      <c r="FF406" s="58"/>
      <c r="FG406" s="58"/>
      <c r="FH406" s="58"/>
      <c r="FI406" s="58"/>
      <c r="FJ406" s="58"/>
      <c r="FK406" s="58"/>
      <c r="FL406" s="58"/>
      <c r="FM406" s="58"/>
    </row>
    <row r="407">
      <c r="ET407" s="58"/>
      <c r="EU407" s="58"/>
      <c r="EV407" s="58"/>
      <c r="EW407" s="58"/>
      <c r="EX407" s="58"/>
      <c r="EY407" s="58"/>
      <c r="EZ407" s="58"/>
      <c r="FA407" s="58"/>
      <c r="FB407" s="58"/>
      <c r="FC407" s="58"/>
      <c r="FD407" s="58"/>
      <c r="FE407" s="58"/>
      <c r="FF407" s="58"/>
      <c r="FG407" s="58"/>
      <c r="FH407" s="58"/>
      <c r="FI407" s="58"/>
      <c r="FJ407" s="58"/>
      <c r="FK407" s="58"/>
      <c r="FL407" s="58"/>
      <c r="FM407" s="58"/>
    </row>
    <row r="408">
      <c r="ET408" s="58"/>
      <c r="EU408" s="58"/>
      <c r="EV408" s="58"/>
      <c r="EW408" s="58"/>
      <c r="EX408" s="58"/>
      <c r="EY408" s="58"/>
      <c r="EZ408" s="58"/>
      <c r="FA408" s="58"/>
      <c r="FB408" s="58"/>
      <c r="FC408" s="58"/>
      <c r="FD408" s="58"/>
      <c r="FE408" s="58"/>
      <c r="FF408" s="58"/>
      <c r="FG408" s="58"/>
      <c r="FH408" s="58"/>
      <c r="FI408" s="58"/>
      <c r="FJ408" s="58"/>
      <c r="FK408" s="58"/>
      <c r="FL408" s="58"/>
      <c r="FM408" s="58"/>
    </row>
    <row r="409"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8"/>
      <c r="FE409" s="58"/>
      <c r="FF409" s="58"/>
      <c r="FG409" s="58"/>
      <c r="FH409" s="58"/>
      <c r="FI409" s="58"/>
      <c r="FJ409" s="58"/>
      <c r="FK409" s="58"/>
      <c r="FL409" s="58"/>
      <c r="FM409" s="58"/>
    </row>
    <row r="410"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8"/>
      <c r="FE410" s="58"/>
      <c r="FF410" s="58"/>
      <c r="FG410" s="58"/>
      <c r="FH410" s="58"/>
      <c r="FI410" s="58"/>
      <c r="FJ410" s="58"/>
      <c r="FK410" s="58"/>
      <c r="FL410" s="58"/>
      <c r="FM410" s="58"/>
    </row>
    <row r="411">
      <c r="ET411" s="58"/>
      <c r="EU411" s="58"/>
      <c r="EV411" s="58"/>
      <c r="EW411" s="58"/>
      <c r="EX411" s="58"/>
      <c r="EY411" s="58"/>
      <c r="EZ411" s="58"/>
      <c r="FA411" s="58"/>
      <c r="FB411" s="58"/>
      <c r="FC411" s="58"/>
      <c r="FD411" s="58"/>
      <c r="FE411" s="58"/>
      <c r="FF411" s="58"/>
      <c r="FG411" s="58"/>
      <c r="FH411" s="58"/>
      <c r="FI411" s="58"/>
      <c r="FJ411" s="58"/>
      <c r="FK411" s="58"/>
      <c r="FL411" s="58"/>
      <c r="FM411" s="58"/>
    </row>
    <row r="412"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8"/>
      <c r="FE412" s="58"/>
      <c r="FF412" s="58"/>
      <c r="FG412" s="58"/>
      <c r="FH412" s="58"/>
      <c r="FI412" s="58"/>
      <c r="FJ412" s="58"/>
      <c r="FK412" s="58"/>
      <c r="FL412" s="58"/>
      <c r="FM412" s="58"/>
    </row>
    <row r="413"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8"/>
      <c r="FE413" s="58"/>
      <c r="FF413" s="58"/>
      <c r="FG413" s="58"/>
      <c r="FH413" s="58"/>
      <c r="FI413" s="58"/>
      <c r="FJ413" s="58"/>
      <c r="FK413" s="58"/>
      <c r="FL413" s="58"/>
      <c r="FM413" s="58"/>
    </row>
    <row r="414"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8"/>
      <c r="FE414" s="58"/>
      <c r="FF414" s="58"/>
      <c r="FG414" s="58"/>
      <c r="FH414" s="58"/>
      <c r="FI414" s="58"/>
      <c r="FJ414" s="58"/>
      <c r="FK414" s="58"/>
      <c r="FL414" s="58"/>
      <c r="FM414" s="58"/>
    </row>
    <row r="415">
      <c r="ET415" s="58"/>
      <c r="EU415" s="58"/>
      <c r="EV415" s="58"/>
      <c r="EW415" s="58"/>
      <c r="EX415" s="58"/>
      <c r="EY415" s="58"/>
      <c r="EZ415" s="58"/>
      <c r="FA415" s="58"/>
      <c r="FB415" s="58"/>
      <c r="FC415" s="58"/>
      <c r="FD415" s="58"/>
      <c r="FE415" s="58"/>
      <c r="FF415" s="58"/>
      <c r="FG415" s="58"/>
      <c r="FH415" s="58"/>
      <c r="FI415" s="58"/>
      <c r="FJ415" s="58"/>
      <c r="FK415" s="58"/>
      <c r="FL415" s="58"/>
      <c r="FM415" s="58"/>
    </row>
    <row r="416"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8"/>
      <c r="FE416" s="58"/>
      <c r="FF416" s="58"/>
      <c r="FG416" s="58"/>
      <c r="FH416" s="58"/>
      <c r="FI416" s="58"/>
      <c r="FJ416" s="58"/>
      <c r="FK416" s="58"/>
      <c r="FL416" s="58"/>
      <c r="FM416" s="58"/>
    </row>
    <row r="417"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8"/>
      <c r="FE417" s="58"/>
      <c r="FF417" s="58"/>
      <c r="FG417" s="58"/>
      <c r="FH417" s="58"/>
      <c r="FI417" s="58"/>
      <c r="FJ417" s="58"/>
      <c r="FK417" s="58"/>
      <c r="FL417" s="58"/>
      <c r="FM417" s="58"/>
    </row>
    <row r="418"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8"/>
      <c r="FE418" s="58"/>
      <c r="FF418" s="58"/>
      <c r="FG418" s="58"/>
      <c r="FH418" s="58"/>
      <c r="FI418" s="58"/>
      <c r="FJ418" s="58"/>
      <c r="FK418" s="58"/>
      <c r="FL418" s="58"/>
      <c r="FM418" s="58"/>
    </row>
    <row r="419">
      <c r="ET419" s="58"/>
      <c r="EU419" s="58"/>
      <c r="EV419" s="58"/>
      <c r="EW419" s="58"/>
      <c r="EX419" s="58"/>
      <c r="EY419" s="58"/>
      <c r="EZ419" s="58"/>
      <c r="FA419" s="58"/>
      <c r="FB419" s="58"/>
      <c r="FC419" s="58"/>
      <c r="FD419" s="58"/>
      <c r="FE419" s="58"/>
      <c r="FF419" s="58"/>
      <c r="FG419" s="58"/>
      <c r="FH419" s="58"/>
      <c r="FI419" s="58"/>
      <c r="FJ419" s="58"/>
      <c r="FK419" s="58"/>
      <c r="FL419" s="58"/>
      <c r="FM419" s="58"/>
    </row>
    <row r="420"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8"/>
      <c r="FE420" s="58"/>
      <c r="FF420" s="58"/>
      <c r="FG420" s="58"/>
      <c r="FH420" s="58"/>
      <c r="FI420" s="58"/>
      <c r="FJ420" s="58"/>
      <c r="FK420" s="58"/>
      <c r="FL420" s="58"/>
      <c r="FM420" s="58"/>
    </row>
    <row r="421"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8"/>
      <c r="FE421" s="58"/>
      <c r="FF421" s="58"/>
      <c r="FG421" s="58"/>
      <c r="FH421" s="58"/>
      <c r="FI421" s="58"/>
      <c r="FJ421" s="58"/>
      <c r="FK421" s="58"/>
      <c r="FL421" s="58"/>
      <c r="FM421" s="58"/>
    </row>
    <row r="422"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8"/>
      <c r="FE422" s="58"/>
      <c r="FF422" s="58"/>
      <c r="FG422" s="58"/>
      <c r="FH422" s="58"/>
      <c r="FI422" s="58"/>
      <c r="FJ422" s="58"/>
      <c r="FK422" s="58"/>
      <c r="FL422" s="58"/>
      <c r="FM422" s="58"/>
    </row>
    <row r="423"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8"/>
      <c r="FE423" s="58"/>
      <c r="FF423" s="58"/>
      <c r="FG423" s="58"/>
      <c r="FH423" s="58"/>
      <c r="FI423" s="58"/>
      <c r="FJ423" s="58"/>
      <c r="FK423" s="58"/>
      <c r="FL423" s="58"/>
      <c r="FM423" s="58"/>
    </row>
    <row r="424"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8"/>
      <c r="FE424" s="58"/>
      <c r="FF424" s="58"/>
      <c r="FG424" s="58"/>
      <c r="FH424" s="58"/>
      <c r="FI424" s="58"/>
      <c r="FJ424" s="58"/>
      <c r="FK424" s="58"/>
      <c r="FL424" s="58"/>
      <c r="FM424" s="58"/>
    </row>
    <row r="425"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8"/>
      <c r="FE425" s="58"/>
      <c r="FF425" s="58"/>
      <c r="FG425" s="58"/>
      <c r="FH425" s="58"/>
      <c r="FI425" s="58"/>
      <c r="FJ425" s="58"/>
      <c r="FK425" s="58"/>
      <c r="FL425" s="58"/>
      <c r="FM425" s="58"/>
    </row>
    <row r="426"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8"/>
      <c r="FE426" s="58"/>
      <c r="FF426" s="58"/>
      <c r="FG426" s="58"/>
      <c r="FH426" s="58"/>
      <c r="FI426" s="58"/>
      <c r="FJ426" s="58"/>
      <c r="FK426" s="58"/>
      <c r="FL426" s="58"/>
      <c r="FM426" s="58"/>
    </row>
    <row r="427"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8"/>
      <c r="FE427" s="58"/>
      <c r="FF427" s="58"/>
      <c r="FG427" s="58"/>
      <c r="FH427" s="58"/>
      <c r="FI427" s="58"/>
      <c r="FJ427" s="58"/>
      <c r="FK427" s="58"/>
      <c r="FL427" s="58"/>
      <c r="FM427" s="58"/>
    </row>
    <row r="428">
      <c r="ET428" s="58"/>
      <c r="EU428" s="58"/>
      <c r="EV428" s="58"/>
      <c r="EW428" s="58"/>
      <c r="EX428" s="58"/>
      <c r="EY428" s="58"/>
      <c r="EZ428" s="58"/>
      <c r="FA428" s="58"/>
      <c r="FB428" s="58"/>
      <c r="FC428" s="58"/>
      <c r="FD428" s="58"/>
      <c r="FE428" s="58"/>
      <c r="FF428" s="58"/>
      <c r="FG428" s="58"/>
      <c r="FH428" s="58"/>
      <c r="FI428" s="58"/>
      <c r="FJ428" s="58"/>
      <c r="FK428" s="58"/>
      <c r="FL428" s="58"/>
      <c r="FM428" s="58"/>
    </row>
    <row r="429"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8"/>
      <c r="FE429" s="58"/>
      <c r="FF429" s="58"/>
      <c r="FG429" s="58"/>
      <c r="FH429" s="58"/>
      <c r="FI429" s="58"/>
      <c r="FJ429" s="58"/>
      <c r="FK429" s="58"/>
      <c r="FL429" s="58"/>
      <c r="FM429" s="58"/>
    </row>
    <row r="430"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8"/>
      <c r="FE430" s="58"/>
      <c r="FF430" s="58"/>
      <c r="FG430" s="58"/>
      <c r="FH430" s="58"/>
      <c r="FI430" s="58"/>
      <c r="FJ430" s="58"/>
      <c r="FK430" s="58"/>
      <c r="FL430" s="58"/>
      <c r="FM430" s="58"/>
    </row>
    <row r="431"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8"/>
      <c r="FE431" s="58"/>
      <c r="FF431" s="58"/>
      <c r="FG431" s="58"/>
      <c r="FH431" s="58"/>
      <c r="FI431" s="58"/>
      <c r="FJ431" s="58"/>
      <c r="FK431" s="58"/>
      <c r="FL431" s="58"/>
      <c r="FM431" s="58"/>
    </row>
    <row r="432"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8"/>
      <c r="FE432" s="58"/>
      <c r="FF432" s="58"/>
      <c r="FG432" s="58"/>
      <c r="FH432" s="58"/>
      <c r="FI432" s="58"/>
      <c r="FJ432" s="58"/>
      <c r="FK432" s="58"/>
      <c r="FL432" s="58"/>
      <c r="FM432" s="58"/>
    </row>
    <row r="433">
      <c r="ET433" s="58"/>
      <c r="EU433" s="58"/>
      <c r="EV433" s="58"/>
      <c r="EW433" s="58"/>
      <c r="EX433" s="58"/>
      <c r="EY433" s="58"/>
      <c r="EZ433" s="58"/>
      <c r="FA433" s="58"/>
      <c r="FB433" s="58"/>
      <c r="FC433" s="58"/>
      <c r="FD433" s="58"/>
      <c r="FE433" s="58"/>
      <c r="FF433" s="58"/>
      <c r="FG433" s="58"/>
      <c r="FH433" s="58"/>
      <c r="FI433" s="58"/>
      <c r="FJ433" s="58"/>
      <c r="FK433" s="58"/>
      <c r="FL433" s="58"/>
      <c r="FM433" s="58"/>
    </row>
    <row r="434">
      <c r="ET434" s="58"/>
      <c r="EU434" s="58"/>
      <c r="EV434" s="58"/>
      <c r="EW434" s="58"/>
      <c r="EX434" s="58"/>
      <c r="EY434" s="58"/>
      <c r="EZ434" s="58"/>
      <c r="FA434" s="58"/>
      <c r="FB434" s="58"/>
      <c r="FC434" s="58"/>
      <c r="FD434" s="58"/>
      <c r="FE434" s="58"/>
      <c r="FF434" s="58"/>
      <c r="FG434" s="58"/>
      <c r="FH434" s="58"/>
      <c r="FI434" s="58"/>
      <c r="FJ434" s="58"/>
      <c r="FK434" s="58"/>
      <c r="FL434" s="58"/>
      <c r="FM434" s="58"/>
    </row>
    <row r="435"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8"/>
      <c r="FE435" s="58"/>
      <c r="FF435" s="58"/>
      <c r="FG435" s="58"/>
      <c r="FH435" s="58"/>
      <c r="FI435" s="58"/>
      <c r="FJ435" s="58"/>
      <c r="FK435" s="58"/>
      <c r="FL435" s="58"/>
      <c r="FM435" s="58"/>
    </row>
    <row r="436"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8"/>
      <c r="FE436" s="58"/>
      <c r="FF436" s="58"/>
      <c r="FG436" s="58"/>
      <c r="FH436" s="58"/>
      <c r="FI436" s="58"/>
      <c r="FJ436" s="58"/>
      <c r="FK436" s="58"/>
      <c r="FL436" s="58"/>
      <c r="FM436" s="58"/>
    </row>
    <row r="437"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8"/>
      <c r="FE437" s="58"/>
      <c r="FF437" s="58"/>
      <c r="FG437" s="58"/>
      <c r="FH437" s="58"/>
      <c r="FI437" s="58"/>
      <c r="FJ437" s="58"/>
      <c r="FK437" s="58"/>
      <c r="FL437" s="58"/>
      <c r="FM437" s="58"/>
    </row>
    <row r="438">
      <c r="ET438" s="58"/>
      <c r="EU438" s="58"/>
      <c r="EV438" s="58"/>
      <c r="EW438" s="58"/>
      <c r="EX438" s="58"/>
      <c r="EY438" s="58"/>
      <c r="EZ438" s="58"/>
      <c r="FA438" s="58"/>
      <c r="FB438" s="58"/>
      <c r="FC438" s="58"/>
      <c r="FD438" s="58"/>
      <c r="FE438" s="58"/>
      <c r="FF438" s="58"/>
      <c r="FG438" s="58"/>
      <c r="FH438" s="58"/>
      <c r="FI438" s="58"/>
      <c r="FJ438" s="58"/>
      <c r="FK438" s="58"/>
      <c r="FL438" s="58"/>
      <c r="FM438" s="58"/>
    </row>
    <row r="439"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8"/>
      <c r="FE439" s="58"/>
      <c r="FF439" s="58"/>
      <c r="FG439" s="58"/>
      <c r="FH439" s="58"/>
      <c r="FI439" s="58"/>
      <c r="FJ439" s="58"/>
      <c r="FK439" s="58"/>
      <c r="FL439" s="58"/>
      <c r="FM439" s="58"/>
    </row>
    <row r="440"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8"/>
      <c r="FE440" s="58"/>
      <c r="FF440" s="58"/>
      <c r="FG440" s="58"/>
      <c r="FH440" s="58"/>
      <c r="FI440" s="58"/>
      <c r="FJ440" s="58"/>
      <c r="FK440" s="58"/>
      <c r="FL440" s="58"/>
      <c r="FM440" s="58"/>
    </row>
    <row r="441"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8"/>
      <c r="FE441" s="58"/>
      <c r="FF441" s="58"/>
      <c r="FG441" s="58"/>
      <c r="FH441" s="58"/>
      <c r="FI441" s="58"/>
      <c r="FJ441" s="58"/>
      <c r="FK441" s="58"/>
      <c r="FL441" s="58"/>
      <c r="FM441" s="58"/>
    </row>
    <row r="442">
      <c r="ET442" s="58"/>
      <c r="EU442" s="58"/>
      <c r="EV442" s="58"/>
      <c r="EW442" s="58"/>
      <c r="EX442" s="58"/>
      <c r="EY442" s="58"/>
      <c r="EZ442" s="58"/>
      <c r="FA442" s="58"/>
      <c r="FB442" s="58"/>
      <c r="FC442" s="58"/>
      <c r="FD442" s="58"/>
      <c r="FE442" s="58"/>
      <c r="FF442" s="58"/>
      <c r="FG442" s="58"/>
      <c r="FH442" s="58"/>
      <c r="FI442" s="58"/>
      <c r="FJ442" s="58"/>
      <c r="FK442" s="58"/>
      <c r="FL442" s="58"/>
      <c r="FM442" s="58"/>
    </row>
    <row r="443">
      <c r="ET443" s="58"/>
      <c r="EU443" s="58"/>
      <c r="EV443" s="58"/>
      <c r="EW443" s="58"/>
      <c r="EX443" s="58"/>
      <c r="EY443" s="58"/>
      <c r="EZ443" s="58"/>
      <c r="FA443" s="58"/>
      <c r="FB443" s="58"/>
      <c r="FC443" s="58"/>
      <c r="FD443" s="58"/>
      <c r="FE443" s="58"/>
      <c r="FF443" s="58"/>
      <c r="FG443" s="58"/>
      <c r="FH443" s="58"/>
      <c r="FI443" s="58"/>
      <c r="FJ443" s="58"/>
      <c r="FK443" s="58"/>
      <c r="FL443" s="58"/>
      <c r="FM443" s="58"/>
    </row>
    <row r="444"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8"/>
      <c r="FE444" s="58"/>
      <c r="FF444" s="58"/>
      <c r="FG444" s="58"/>
      <c r="FH444" s="58"/>
      <c r="FI444" s="58"/>
      <c r="FJ444" s="58"/>
      <c r="FK444" s="58"/>
      <c r="FL444" s="58"/>
      <c r="FM444" s="58"/>
    </row>
    <row r="445"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8"/>
      <c r="FE445" s="58"/>
      <c r="FF445" s="58"/>
      <c r="FG445" s="58"/>
      <c r="FH445" s="58"/>
      <c r="FI445" s="58"/>
      <c r="FJ445" s="58"/>
      <c r="FK445" s="58"/>
      <c r="FL445" s="58"/>
      <c r="FM445" s="58"/>
    </row>
    <row r="446"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8"/>
      <c r="FE446" s="58"/>
      <c r="FF446" s="58"/>
      <c r="FG446" s="58"/>
      <c r="FH446" s="58"/>
      <c r="FI446" s="58"/>
      <c r="FJ446" s="58"/>
      <c r="FK446" s="58"/>
      <c r="FL446" s="58"/>
      <c r="FM446" s="58"/>
    </row>
    <row r="447"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8"/>
      <c r="FE447" s="58"/>
      <c r="FF447" s="58"/>
      <c r="FG447" s="58"/>
      <c r="FH447" s="58"/>
      <c r="FI447" s="58"/>
      <c r="FJ447" s="58"/>
      <c r="FK447" s="58"/>
      <c r="FL447" s="58"/>
      <c r="FM447" s="58"/>
    </row>
    <row r="448">
      <c r="ET448" s="58"/>
      <c r="EU448" s="58"/>
      <c r="EV448" s="58"/>
      <c r="EW448" s="58"/>
      <c r="EX448" s="58"/>
      <c r="EY448" s="58"/>
      <c r="EZ448" s="58"/>
      <c r="FA448" s="58"/>
      <c r="FB448" s="58"/>
      <c r="FC448" s="58"/>
      <c r="FD448" s="58"/>
      <c r="FE448" s="58"/>
      <c r="FF448" s="58"/>
      <c r="FG448" s="58"/>
      <c r="FH448" s="58"/>
      <c r="FI448" s="58"/>
      <c r="FJ448" s="58"/>
      <c r="FK448" s="58"/>
      <c r="FL448" s="58"/>
      <c r="FM448" s="58"/>
    </row>
    <row r="449"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8"/>
      <c r="FE449" s="58"/>
      <c r="FF449" s="58"/>
      <c r="FG449" s="58"/>
      <c r="FH449" s="58"/>
      <c r="FI449" s="58"/>
      <c r="FJ449" s="58"/>
      <c r="FK449" s="58"/>
      <c r="FL449" s="58"/>
      <c r="FM449" s="58"/>
    </row>
    <row r="450"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8"/>
      <c r="FE450" s="58"/>
      <c r="FF450" s="58"/>
      <c r="FG450" s="58"/>
      <c r="FH450" s="58"/>
      <c r="FI450" s="58"/>
      <c r="FJ450" s="58"/>
      <c r="FK450" s="58"/>
      <c r="FL450" s="58"/>
      <c r="FM450" s="58"/>
    </row>
    <row r="451">
      <c r="ET451" s="58"/>
      <c r="EU451" s="58"/>
      <c r="EV451" s="58"/>
      <c r="EW451" s="58"/>
      <c r="EX451" s="58"/>
      <c r="EY451" s="58"/>
      <c r="EZ451" s="58"/>
      <c r="FA451" s="58"/>
      <c r="FB451" s="58"/>
      <c r="FC451" s="58"/>
      <c r="FD451" s="58"/>
      <c r="FE451" s="58"/>
      <c r="FF451" s="58"/>
      <c r="FG451" s="58"/>
      <c r="FH451" s="58"/>
      <c r="FI451" s="58"/>
      <c r="FJ451" s="58"/>
      <c r="FK451" s="58"/>
      <c r="FL451" s="58"/>
      <c r="FM451" s="58"/>
    </row>
    <row r="452">
      <c r="ET452" s="58"/>
      <c r="EU452" s="58"/>
      <c r="EV452" s="58"/>
      <c r="EW452" s="58"/>
      <c r="EX452" s="58"/>
      <c r="EY452" s="58"/>
      <c r="EZ452" s="58"/>
      <c r="FA452" s="58"/>
      <c r="FB452" s="58"/>
      <c r="FC452" s="58"/>
      <c r="FD452" s="58"/>
      <c r="FE452" s="58"/>
      <c r="FF452" s="58"/>
      <c r="FG452" s="58"/>
      <c r="FH452" s="58"/>
      <c r="FI452" s="58"/>
      <c r="FJ452" s="58"/>
      <c r="FK452" s="58"/>
      <c r="FL452" s="58"/>
      <c r="FM452" s="58"/>
    </row>
    <row r="453">
      <c r="ET453" s="58"/>
      <c r="EU453" s="58"/>
      <c r="EV453" s="58"/>
      <c r="EW453" s="58"/>
      <c r="EX453" s="58"/>
      <c r="EY453" s="58"/>
      <c r="EZ453" s="58"/>
      <c r="FA453" s="58"/>
      <c r="FB453" s="58"/>
      <c r="FC453" s="58"/>
      <c r="FD453" s="58"/>
      <c r="FE453" s="58"/>
      <c r="FF453" s="58"/>
      <c r="FG453" s="58"/>
      <c r="FH453" s="58"/>
      <c r="FI453" s="58"/>
      <c r="FJ453" s="58"/>
      <c r="FK453" s="58"/>
      <c r="FL453" s="58"/>
      <c r="FM453" s="58"/>
    </row>
    <row r="454">
      <c r="ET454" s="58"/>
      <c r="EU454" s="58"/>
      <c r="EV454" s="58"/>
      <c r="EW454" s="58"/>
      <c r="EX454" s="58"/>
      <c r="EY454" s="58"/>
      <c r="EZ454" s="58"/>
      <c r="FA454" s="58"/>
      <c r="FB454" s="58"/>
      <c r="FC454" s="58"/>
      <c r="FD454" s="58"/>
      <c r="FE454" s="58"/>
      <c r="FF454" s="58"/>
      <c r="FG454" s="58"/>
      <c r="FH454" s="58"/>
      <c r="FI454" s="58"/>
      <c r="FJ454" s="58"/>
      <c r="FK454" s="58"/>
      <c r="FL454" s="58"/>
      <c r="FM454" s="58"/>
    </row>
    <row r="455">
      <c r="ET455" s="58"/>
      <c r="EU455" s="58"/>
      <c r="EV455" s="58"/>
      <c r="EW455" s="58"/>
      <c r="EX455" s="58"/>
      <c r="EY455" s="58"/>
      <c r="EZ455" s="58"/>
      <c r="FA455" s="58"/>
      <c r="FB455" s="58"/>
      <c r="FC455" s="58"/>
      <c r="FD455" s="58"/>
      <c r="FE455" s="58"/>
      <c r="FF455" s="58"/>
      <c r="FG455" s="58"/>
      <c r="FH455" s="58"/>
      <c r="FI455" s="58"/>
      <c r="FJ455" s="58"/>
      <c r="FK455" s="58"/>
      <c r="FL455" s="58"/>
      <c r="FM455" s="58"/>
    </row>
    <row r="456">
      <c r="ET456" s="58"/>
      <c r="EU456" s="58"/>
      <c r="EV456" s="58"/>
      <c r="EW456" s="58"/>
      <c r="EX456" s="58"/>
      <c r="EY456" s="58"/>
      <c r="EZ456" s="58"/>
      <c r="FA456" s="58"/>
      <c r="FB456" s="58"/>
      <c r="FC456" s="58"/>
      <c r="FD456" s="58"/>
      <c r="FE456" s="58"/>
      <c r="FF456" s="58"/>
      <c r="FG456" s="58"/>
      <c r="FH456" s="58"/>
      <c r="FI456" s="58"/>
      <c r="FJ456" s="58"/>
      <c r="FK456" s="58"/>
      <c r="FL456" s="58"/>
      <c r="FM456" s="58"/>
    </row>
    <row r="457">
      <c r="ET457" s="58"/>
      <c r="EU457" s="58"/>
      <c r="EV457" s="58"/>
      <c r="EW457" s="58"/>
      <c r="EX457" s="58"/>
      <c r="EY457" s="58"/>
      <c r="EZ457" s="58"/>
      <c r="FA457" s="58"/>
      <c r="FB457" s="58"/>
      <c r="FC457" s="58"/>
      <c r="FD457" s="58"/>
      <c r="FE457" s="58"/>
      <c r="FF457" s="58"/>
      <c r="FG457" s="58"/>
      <c r="FH457" s="58"/>
      <c r="FI457" s="58"/>
      <c r="FJ457" s="58"/>
      <c r="FK457" s="58"/>
      <c r="FL457" s="58"/>
      <c r="FM457" s="58"/>
    </row>
    <row r="458">
      <c r="ET458" s="58"/>
      <c r="EU458" s="58"/>
      <c r="EV458" s="58"/>
      <c r="EW458" s="58"/>
      <c r="EX458" s="58"/>
      <c r="EY458" s="58"/>
      <c r="EZ458" s="58"/>
      <c r="FA458" s="58"/>
      <c r="FB458" s="58"/>
      <c r="FC458" s="58"/>
      <c r="FD458" s="58"/>
      <c r="FE458" s="58"/>
      <c r="FF458" s="58"/>
      <c r="FG458" s="58"/>
      <c r="FH458" s="58"/>
      <c r="FI458" s="58"/>
      <c r="FJ458" s="58"/>
      <c r="FK458" s="58"/>
      <c r="FL458" s="58"/>
      <c r="FM458" s="58"/>
    </row>
    <row r="459">
      <c r="ET459" s="58"/>
      <c r="EU459" s="58"/>
      <c r="EV459" s="58"/>
      <c r="EW459" s="58"/>
      <c r="EX459" s="58"/>
      <c r="EY459" s="58"/>
      <c r="EZ459" s="58"/>
      <c r="FA459" s="58"/>
      <c r="FB459" s="58"/>
      <c r="FC459" s="58"/>
      <c r="FD459" s="58"/>
      <c r="FE459" s="58"/>
      <c r="FF459" s="58"/>
      <c r="FG459" s="58"/>
      <c r="FH459" s="58"/>
      <c r="FI459" s="58"/>
      <c r="FJ459" s="58"/>
      <c r="FK459" s="58"/>
      <c r="FL459" s="58"/>
      <c r="FM459" s="58"/>
    </row>
    <row r="460">
      <c r="ET460" s="58"/>
      <c r="EU460" s="58"/>
      <c r="EV460" s="58"/>
      <c r="EW460" s="58"/>
      <c r="EX460" s="58"/>
      <c r="EY460" s="58"/>
      <c r="EZ460" s="58"/>
      <c r="FA460" s="58"/>
      <c r="FB460" s="58"/>
      <c r="FC460" s="58"/>
      <c r="FD460" s="58"/>
      <c r="FE460" s="58"/>
      <c r="FF460" s="58"/>
      <c r="FG460" s="58"/>
      <c r="FH460" s="58"/>
      <c r="FI460" s="58"/>
      <c r="FJ460" s="58"/>
      <c r="FK460" s="58"/>
      <c r="FL460" s="58"/>
      <c r="FM460" s="58"/>
    </row>
    <row r="461">
      <c r="ET461" s="58"/>
      <c r="EU461" s="58"/>
      <c r="EV461" s="58"/>
      <c r="EW461" s="58"/>
      <c r="EX461" s="58"/>
      <c r="EY461" s="58"/>
      <c r="EZ461" s="58"/>
      <c r="FA461" s="58"/>
      <c r="FB461" s="58"/>
      <c r="FC461" s="58"/>
      <c r="FD461" s="58"/>
      <c r="FE461" s="58"/>
      <c r="FF461" s="58"/>
      <c r="FG461" s="58"/>
      <c r="FH461" s="58"/>
      <c r="FI461" s="58"/>
      <c r="FJ461" s="58"/>
      <c r="FK461" s="58"/>
      <c r="FL461" s="58"/>
      <c r="FM461" s="58"/>
    </row>
    <row r="462">
      <c r="ET462" s="58"/>
      <c r="EU462" s="58"/>
      <c r="EV462" s="58"/>
      <c r="EW462" s="58"/>
      <c r="EX462" s="58"/>
      <c r="EY462" s="58"/>
      <c r="EZ462" s="58"/>
      <c r="FA462" s="58"/>
      <c r="FB462" s="58"/>
      <c r="FC462" s="58"/>
      <c r="FD462" s="58"/>
      <c r="FE462" s="58"/>
      <c r="FF462" s="58"/>
      <c r="FG462" s="58"/>
      <c r="FH462" s="58"/>
      <c r="FI462" s="58"/>
      <c r="FJ462" s="58"/>
      <c r="FK462" s="58"/>
      <c r="FL462" s="58"/>
      <c r="FM462" s="58"/>
    </row>
    <row r="463">
      <c r="ET463" s="58"/>
      <c r="EU463" s="58"/>
      <c r="EV463" s="58"/>
      <c r="EW463" s="58"/>
      <c r="EX463" s="58"/>
      <c r="EY463" s="58"/>
      <c r="EZ463" s="58"/>
      <c r="FA463" s="58"/>
      <c r="FB463" s="58"/>
      <c r="FC463" s="58"/>
      <c r="FD463" s="58"/>
      <c r="FE463" s="58"/>
      <c r="FF463" s="58"/>
      <c r="FG463" s="58"/>
      <c r="FH463" s="58"/>
      <c r="FI463" s="58"/>
      <c r="FJ463" s="58"/>
      <c r="FK463" s="58"/>
      <c r="FL463" s="58"/>
      <c r="FM463" s="58"/>
    </row>
    <row r="464">
      <c r="ET464" s="58"/>
      <c r="EU464" s="58"/>
      <c r="EV464" s="58"/>
      <c r="EW464" s="58"/>
      <c r="EX464" s="58"/>
      <c r="EY464" s="58"/>
      <c r="EZ464" s="58"/>
      <c r="FA464" s="58"/>
      <c r="FB464" s="58"/>
      <c r="FC464" s="58"/>
      <c r="FD464" s="58"/>
      <c r="FE464" s="58"/>
      <c r="FF464" s="58"/>
      <c r="FG464" s="58"/>
      <c r="FH464" s="58"/>
      <c r="FI464" s="58"/>
      <c r="FJ464" s="58"/>
      <c r="FK464" s="58"/>
      <c r="FL464" s="58"/>
      <c r="FM464" s="58"/>
    </row>
    <row r="465">
      <c r="ET465" s="58"/>
      <c r="EU465" s="58"/>
      <c r="EV465" s="58"/>
      <c r="EW465" s="58"/>
      <c r="EX465" s="58"/>
      <c r="EY465" s="58"/>
      <c r="EZ465" s="58"/>
      <c r="FA465" s="58"/>
      <c r="FB465" s="58"/>
      <c r="FC465" s="58"/>
      <c r="FD465" s="58"/>
      <c r="FE465" s="58"/>
      <c r="FF465" s="58"/>
      <c r="FG465" s="58"/>
      <c r="FH465" s="58"/>
      <c r="FI465" s="58"/>
      <c r="FJ465" s="58"/>
      <c r="FK465" s="58"/>
      <c r="FL465" s="58"/>
      <c r="FM465" s="58"/>
    </row>
    <row r="466">
      <c r="ET466" s="58"/>
      <c r="EU466" s="58"/>
      <c r="EV466" s="58"/>
      <c r="EW466" s="58"/>
      <c r="EX466" s="58"/>
      <c r="EY466" s="58"/>
      <c r="EZ466" s="58"/>
      <c r="FA466" s="58"/>
      <c r="FB466" s="58"/>
      <c r="FC466" s="58"/>
      <c r="FD466" s="58"/>
      <c r="FE466" s="58"/>
      <c r="FF466" s="58"/>
      <c r="FG466" s="58"/>
      <c r="FH466" s="58"/>
      <c r="FI466" s="58"/>
      <c r="FJ466" s="58"/>
      <c r="FK466" s="58"/>
      <c r="FL466" s="58"/>
      <c r="FM466" s="58"/>
    </row>
    <row r="467">
      <c r="ET467" s="58"/>
      <c r="EU467" s="58"/>
      <c r="EV467" s="58"/>
      <c r="EW467" s="58"/>
      <c r="EX467" s="58"/>
      <c r="EY467" s="58"/>
      <c r="EZ467" s="58"/>
      <c r="FA467" s="58"/>
      <c r="FB467" s="58"/>
      <c r="FC467" s="58"/>
      <c r="FD467" s="58"/>
      <c r="FE467" s="58"/>
      <c r="FF467" s="58"/>
      <c r="FG467" s="58"/>
      <c r="FH467" s="58"/>
      <c r="FI467" s="58"/>
      <c r="FJ467" s="58"/>
      <c r="FK467" s="58"/>
      <c r="FL467" s="58"/>
      <c r="FM467" s="58"/>
    </row>
    <row r="468">
      <c r="ET468" s="58"/>
      <c r="EU468" s="58"/>
      <c r="EV468" s="58"/>
      <c r="EW468" s="58"/>
      <c r="EX468" s="58"/>
      <c r="EY468" s="58"/>
      <c r="EZ468" s="58"/>
      <c r="FA468" s="58"/>
      <c r="FB468" s="58"/>
      <c r="FC468" s="58"/>
      <c r="FD468" s="58"/>
      <c r="FE468" s="58"/>
      <c r="FF468" s="58"/>
      <c r="FG468" s="58"/>
      <c r="FH468" s="58"/>
      <c r="FI468" s="58"/>
      <c r="FJ468" s="58"/>
      <c r="FK468" s="58"/>
      <c r="FL468" s="58"/>
      <c r="FM468" s="58"/>
    </row>
    <row r="469">
      <c r="ET469" s="58"/>
      <c r="EU469" s="58"/>
      <c r="EV469" s="58"/>
      <c r="EW469" s="58"/>
      <c r="EX469" s="58"/>
      <c r="EY469" s="58"/>
      <c r="EZ469" s="58"/>
      <c r="FA469" s="58"/>
      <c r="FB469" s="58"/>
      <c r="FC469" s="58"/>
      <c r="FD469" s="58"/>
      <c r="FE469" s="58"/>
      <c r="FF469" s="58"/>
      <c r="FG469" s="58"/>
      <c r="FH469" s="58"/>
      <c r="FI469" s="58"/>
      <c r="FJ469" s="58"/>
      <c r="FK469" s="58"/>
      <c r="FL469" s="58"/>
      <c r="FM469" s="58"/>
    </row>
    <row r="470">
      <c r="ET470" s="58"/>
      <c r="EU470" s="58"/>
      <c r="EV470" s="58"/>
      <c r="EW470" s="58"/>
      <c r="EX470" s="58"/>
      <c r="EY470" s="58"/>
      <c r="EZ470" s="58"/>
      <c r="FA470" s="58"/>
      <c r="FB470" s="58"/>
      <c r="FC470" s="58"/>
      <c r="FD470" s="58"/>
      <c r="FE470" s="58"/>
      <c r="FF470" s="58"/>
      <c r="FG470" s="58"/>
      <c r="FH470" s="58"/>
      <c r="FI470" s="58"/>
      <c r="FJ470" s="58"/>
      <c r="FK470" s="58"/>
      <c r="FL470" s="58"/>
      <c r="FM470" s="58"/>
    </row>
    <row r="471">
      <c r="ET471" s="58"/>
      <c r="EU471" s="58"/>
      <c r="EV471" s="58"/>
      <c r="EW471" s="58"/>
      <c r="EX471" s="58"/>
      <c r="EY471" s="58"/>
      <c r="EZ471" s="58"/>
      <c r="FA471" s="58"/>
      <c r="FB471" s="58"/>
      <c r="FC471" s="58"/>
      <c r="FD471" s="58"/>
      <c r="FE471" s="58"/>
      <c r="FF471" s="58"/>
      <c r="FG471" s="58"/>
      <c r="FH471" s="58"/>
      <c r="FI471" s="58"/>
      <c r="FJ471" s="58"/>
      <c r="FK471" s="58"/>
      <c r="FL471" s="58"/>
      <c r="FM471" s="58"/>
    </row>
    <row r="472">
      <c r="ET472" s="58"/>
      <c r="EU472" s="58"/>
      <c r="EV472" s="58"/>
      <c r="EW472" s="58"/>
      <c r="EX472" s="58"/>
      <c r="EY472" s="58"/>
      <c r="EZ472" s="58"/>
      <c r="FA472" s="58"/>
      <c r="FB472" s="58"/>
      <c r="FC472" s="58"/>
      <c r="FD472" s="58"/>
      <c r="FE472" s="58"/>
      <c r="FF472" s="58"/>
      <c r="FG472" s="58"/>
      <c r="FH472" s="58"/>
      <c r="FI472" s="58"/>
      <c r="FJ472" s="58"/>
      <c r="FK472" s="58"/>
      <c r="FL472" s="58"/>
      <c r="FM472" s="58"/>
    </row>
    <row r="473">
      <c r="ET473" s="58"/>
      <c r="EU473" s="58"/>
      <c r="EV473" s="58"/>
      <c r="EW473" s="58"/>
      <c r="EX473" s="58"/>
      <c r="EY473" s="58"/>
      <c r="EZ473" s="58"/>
      <c r="FA473" s="58"/>
      <c r="FB473" s="58"/>
      <c r="FC473" s="58"/>
      <c r="FD473" s="58"/>
      <c r="FE473" s="58"/>
      <c r="FF473" s="58"/>
      <c r="FG473" s="58"/>
      <c r="FH473" s="58"/>
      <c r="FI473" s="58"/>
      <c r="FJ473" s="58"/>
      <c r="FK473" s="58"/>
      <c r="FL473" s="58"/>
      <c r="FM473" s="58"/>
    </row>
    <row r="474">
      <c r="ET474" s="58"/>
      <c r="EU474" s="58"/>
      <c r="EV474" s="58"/>
      <c r="EW474" s="58"/>
      <c r="EX474" s="58"/>
      <c r="EY474" s="58"/>
      <c r="EZ474" s="58"/>
      <c r="FA474" s="58"/>
      <c r="FB474" s="58"/>
      <c r="FC474" s="58"/>
      <c r="FD474" s="58"/>
      <c r="FE474" s="58"/>
      <c r="FF474" s="58"/>
      <c r="FG474" s="58"/>
      <c r="FH474" s="58"/>
      <c r="FI474" s="58"/>
      <c r="FJ474" s="58"/>
      <c r="FK474" s="58"/>
      <c r="FL474" s="58"/>
      <c r="FM474" s="58"/>
    </row>
    <row r="475">
      <c r="ET475" s="58"/>
      <c r="EU475" s="58"/>
      <c r="EV475" s="58"/>
      <c r="EW475" s="58"/>
      <c r="EX475" s="58"/>
      <c r="EY475" s="58"/>
      <c r="EZ475" s="58"/>
      <c r="FA475" s="58"/>
      <c r="FB475" s="58"/>
      <c r="FC475" s="58"/>
      <c r="FD475" s="58"/>
      <c r="FE475" s="58"/>
      <c r="FF475" s="58"/>
      <c r="FG475" s="58"/>
      <c r="FH475" s="58"/>
      <c r="FI475" s="58"/>
      <c r="FJ475" s="58"/>
      <c r="FK475" s="58"/>
      <c r="FL475" s="58"/>
      <c r="FM475" s="58"/>
    </row>
    <row r="476">
      <c r="ET476" s="58"/>
      <c r="EU476" s="58"/>
      <c r="EV476" s="58"/>
      <c r="EW476" s="58"/>
      <c r="EX476" s="58"/>
      <c r="EY476" s="58"/>
      <c r="EZ476" s="58"/>
      <c r="FA476" s="58"/>
      <c r="FB476" s="58"/>
      <c r="FC476" s="58"/>
      <c r="FD476" s="58"/>
      <c r="FE476" s="58"/>
      <c r="FF476" s="58"/>
      <c r="FG476" s="58"/>
      <c r="FH476" s="58"/>
      <c r="FI476" s="58"/>
      <c r="FJ476" s="58"/>
      <c r="FK476" s="58"/>
      <c r="FL476" s="58"/>
      <c r="FM476" s="58"/>
    </row>
    <row r="477">
      <c r="ET477" s="58"/>
      <c r="EU477" s="58"/>
      <c r="EV477" s="58"/>
      <c r="EW477" s="58"/>
      <c r="EX477" s="58"/>
      <c r="EY477" s="58"/>
      <c r="EZ477" s="58"/>
      <c r="FA477" s="58"/>
      <c r="FB477" s="58"/>
      <c r="FC477" s="58"/>
      <c r="FD477" s="58"/>
      <c r="FE477" s="58"/>
      <c r="FF477" s="58"/>
      <c r="FG477" s="58"/>
      <c r="FH477" s="58"/>
      <c r="FI477" s="58"/>
      <c r="FJ477" s="58"/>
      <c r="FK477" s="58"/>
      <c r="FL477" s="58"/>
      <c r="FM477" s="58"/>
    </row>
    <row r="478">
      <c r="ET478" s="58"/>
      <c r="EU478" s="58"/>
      <c r="EV478" s="58"/>
      <c r="EW478" s="58"/>
      <c r="EX478" s="58"/>
      <c r="EY478" s="58"/>
      <c r="EZ478" s="58"/>
      <c r="FA478" s="58"/>
      <c r="FB478" s="58"/>
      <c r="FC478" s="58"/>
      <c r="FD478" s="58"/>
      <c r="FE478" s="58"/>
      <c r="FF478" s="58"/>
      <c r="FG478" s="58"/>
      <c r="FH478" s="58"/>
      <c r="FI478" s="58"/>
      <c r="FJ478" s="58"/>
      <c r="FK478" s="58"/>
      <c r="FL478" s="58"/>
      <c r="FM478" s="58"/>
    </row>
    <row r="479">
      <c r="ET479" s="58"/>
      <c r="EU479" s="58"/>
      <c r="EV479" s="58"/>
      <c r="EW479" s="58"/>
      <c r="EX479" s="58"/>
      <c r="EY479" s="58"/>
      <c r="EZ479" s="58"/>
      <c r="FA479" s="58"/>
      <c r="FB479" s="58"/>
      <c r="FC479" s="58"/>
      <c r="FD479" s="58"/>
      <c r="FE479" s="58"/>
      <c r="FF479" s="58"/>
      <c r="FG479" s="58"/>
      <c r="FH479" s="58"/>
      <c r="FI479" s="58"/>
      <c r="FJ479" s="58"/>
      <c r="FK479" s="58"/>
      <c r="FL479" s="58"/>
      <c r="FM479" s="58"/>
    </row>
    <row r="480">
      <c r="ET480" s="58"/>
      <c r="EU480" s="58"/>
      <c r="EV480" s="58"/>
      <c r="EW480" s="58"/>
      <c r="EX480" s="58"/>
      <c r="EY480" s="58"/>
      <c r="EZ480" s="58"/>
      <c r="FA480" s="58"/>
      <c r="FB480" s="58"/>
      <c r="FC480" s="58"/>
      <c r="FD480" s="58"/>
      <c r="FE480" s="58"/>
      <c r="FF480" s="58"/>
      <c r="FG480" s="58"/>
      <c r="FH480" s="58"/>
      <c r="FI480" s="58"/>
      <c r="FJ480" s="58"/>
      <c r="FK480" s="58"/>
      <c r="FL480" s="58"/>
      <c r="FM480" s="58"/>
    </row>
    <row r="481">
      <c r="ET481" s="58"/>
      <c r="EU481" s="58"/>
      <c r="EV481" s="58"/>
      <c r="EW481" s="58"/>
      <c r="EX481" s="58"/>
      <c r="EY481" s="58"/>
      <c r="EZ481" s="58"/>
      <c r="FA481" s="58"/>
      <c r="FB481" s="58"/>
      <c r="FC481" s="58"/>
      <c r="FD481" s="58"/>
      <c r="FE481" s="58"/>
      <c r="FF481" s="58"/>
      <c r="FG481" s="58"/>
      <c r="FH481" s="58"/>
      <c r="FI481" s="58"/>
      <c r="FJ481" s="58"/>
      <c r="FK481" s="58"/>
      <c r="FL481" s="58"/>
      <c r="FM481" s="58"/>
    </row>
    <row r="482">
      <c r="ET482" s="58"/>
      <c r="EU482" s="58"/>
      <c r="EV482" s="58"/>
      <c r="EW482" s="58"/>
      <c r="EX482" s="58"/>
      <c r="EY482" s="58"/>
      <c r="EZ482" s="58"/>
      <c r="FA482" s="58"/>
      <c r="FB482" s="58"/>
      <c r="FC482" s="58"/>
      <c r="FD482" s="58"/>
      <c r="FE482" s="58"/>
      <c r="FF482" s="58"/>
      <c r="FG482" s="58"/>
      <c r="FH482" s="58"/>
      <c r="FI482" s="58"/>
      <c r="FJ482" s="58"/>
      <c r="FK482" s="58"/>
      <c r="FL482" s="58"/>
      <c r="FM482" s="58"/>
    </row>
    <row r="483">
      <c r="ET483" s="58"/>
      <c r="EU483" s="58"/>
      <c r="EV483" s="58"/>
      <c r="EW483" s="58"/>
      <c r="EX483" s="58"/>
      <c r="EY483" s="58"/>
      <c r="EZ483" s="58"/>
      <c r="FA483" s="58"/>
      <c r="FB483" s="58"/>
      <c r="FC483" s="58"/>
      <c r="FD483" s="58"/>
      <c r="FE483" s="58"/>
      <c r="FF483" s="58"/>
      <c r="FG483" s="58"/>
      <c r="FH483" s="58"/>
      <c r="FI483" s="58"/>
      <c r="FJ483" s="58"/>
      <c r="FK483" s="58"/>
      <c r="FL483" s="58"/>
      <c r="FM483" s="58"/>
    </row>
    <row r="484">
      <c r="ET484" s="58"/>
      <c r="EU484" s="58"/>
      <c r="EV484" s="58"/>
      <c r="EW484" s="58"/>
      <c r="EX484" s="58"/>
      <c r="EY484" s="58"/>
      <c r="EZ484" s="58"/>
      <c r="FA484" s="58"/>
      <c r="FB484" s="58"/>
      <c r="FC484" s="58"/>
      <c r="FD484" s="58"/>
      <c r="FE484" s="58"/>
      <c r="FF484" s="58"/>
      <c r="FG484" s="58"/>
      <c r="FH484" s="58"/>
      <c r="FI484" s="58"/>
      <c r="FJ484" s="58"/>
      <c r="FK484" s="58"/>
      <c r="FL484" s="58"/>
      <c r="FM484" s="58"/>
    </row>
    <row r="485">
      <c r="ET485" s="58"/>
      <c r="EU485" s="58"/>
      <c r="EV485" s="58"/>
      <c r="EW485" s="58"/>
      <c r="EX485" s="58"/>
      <c r="EY485" s="58"/>
      <c r="EZ485" s="58"/>
      <c r="FA485" s="58"/>
      <c r="FB485" s="58"/>
      <c r="FC485" s="58"/>
      <c r="FD485" s="58"/>
      <c r="FE485" s="58"/>
      <c r="FF485" s="58"/>
      <c r="FG485" s="58"/>
      <c r="FH485" s="58"/>
      <c r="FI485" s="58"/>
      <c r="FJ485" s="58"/>
      <c r="FK485" s="58"/>
      <c r="FL485" s="58"/>
      <c r="FM485" s="58"/>
    </row>
    <row r="486">
      <c r="ET486" s="58"/>
      <c r="EU486" s="58"/>
      <c r="EV486" s="58"/>
      <c r="EW486" s="58"/>
      <c r="EX486" s="58"/>
      <c r="EY486" s="58"/>
      <c r="EZ486" s="58"/>
      <c r="FA486" s="58"/>
      <c r="FB486" s="58"/>
      <c r="FC486" s="58"/>
      <c r="FD486" s="58"/>
      <c r="FE486" s="58"/>
      <c r="FF486" s="58"/>
      <c r="FG486" s="58"/>
      <c r="FH486" s="58"/>
      <c r="FI486" s="58"/>
      <c r="FJ486" s="58"/>
      <c r="FK486" s="58"/>
      <c r="FL486" s="58"/>
      <c r="FM486" s="58"/>
    </row>
    <row r="487">
      <c r="ET487" s="58"/>
      <c r="EU487" s="58"/>
      <c r="EV487" s="58"/>
      <c r="EW487" s="58"/>
      <c r="EX487" s="58"/>
      <c r="EY487" s="58"/>
      <c r="EZ487" s="58"/>
      <c r="FA487" s="58"/>
      <c r="FB487" s="58"/>
      <c r="FC487" s="58"/>
      <c r="FD487" s="58"/>
      <c r="FE487" s="58"/>
      <c r="FF487" s="58"/>
      <c r="FG487" s="58"/>
      <c r="FH487" s="58"/>
      <c r="FI487" s="58"/>
      <c r="FJ487" s="58"/>
      <c r="FK487" s="58"/>
      <c r="FL487" s="58"/>
      <c r="FM487" s="58"/>
    </row>
    <row r="488">
      <c r="ET488" s="58"/>
      <c r="EU488" s="58"/>
      <c r="EV488" s="58"/>
      <c r="EW488" s="58"/>
      <c r="EX488" s="58"/>
      <c r="EY488" s="58"/>
      <c r="EZ488" s="58"/>
      <c r="FA488" s="58"/>
      <c r="FB488" s="58"/>
      <c r="FC488" s="58"/>
      <c r="FD488" s="58"/>
      <c r="FE488" s="58"/>
      <c r="FF488" s="58"/>
      <c r="FG488" s="58"/>
      <c r="FH488" s="58"/>
      <c r="FI488" s="58"/>
      <c r="FJ488" s="58"/>
      <c r="FK488" s="58"/>
      <c r="FL488" s="58"/>
      <c r="FM488" s="58"/>
    </row>
    <row r="489">
      <c r="ET489" s="58"/>
      <c r="EU489" s="58"/>
      <c r="EV489" s="58"/>
      <c r="EW489" s="58"/>
      <c r="EX489" s="58"/>
      <c r="EY489" s="58"/>
      <c r="EZ489" s="58"/>
      <c r="FA489" s="58"/>
      <c r="FB489" s="58"/>
      <c r="FC489" s="58"/>
      <c r="FD489" s="58"/>
      <c r="FE489" s="58"/>
      <c r="FF489" s="58"/>
      <c r="FG489" s="58"/>
      <c r="FH489" s="58"/>
      <c r="FI489" s="58"/>
      <c r="FJ489" s="58"/>
      <c r="FK489" s="58"/>
      <c r="FL489" s="58"/>
      <c r="FM489" s="58"/>
    </row>
    <row r="490">
      <c r="ET490" s="58"/>
      <c r="EU490" s="58"/>
      <c r="EV490" s="58"/>
      <c r="EW490" s="58"/>
      <c r="EX490" s="58"/>
      <c r="EY490" s="58"/>
      <c r="EZ490" s="58"/>
      <c r="FA490" s="58"/>
      <c r="FB490" s="58"/>
      <c r="FC490" s="58"/>
      <c r="FD490" s="58"/>
      <c r="FE490" s="58"/>
      <c r="FF490" s="58"/>
      <c r="FG490" s="58"/>
      <c r="FH490" s="58"/>
      <c r="FI490" s="58"/>
      <c r="FJ490" s="58"/>
      <c r="FK490" s="58"/>
      <c r="FL490" s="58"/>
      <c r="FM490" s="58"/>
    </row>
    <row r="491">
      <c r="ET491" s="58"/>
      <c r="EU491" s="58"/>
      <c r="EV491" s="58"/>
      <c r="EW491" s="58"/>
      <c r="EX491" s="58"/>
      <c r="EY491" s="58"/>
      <c r="EZ491" s="58"/>
      <c r="FA491" s="58"/>
      <c r="FB491" s="58"/>
      <c r="FC491" s="58"/>
      <c r="FD491" s="58"/>
      <c r="FE491" s="58"/>
      <c r="FF491" s="58"/>
      <c r="FG491" s="58"/>
      <c r="FH491" s="58"/>
      <c r="FI491" s="58"/>
      <c r="FJ491" s="58"/>
      <c r="FK491" s="58"/>
      <c r="FL491" s="58"/>
      <c r="FM491" s="58"/>
    </row>
    <row r="492">
      <c r="ET492" s="58"/>
      <c r="EU492" s="58"/>
      <c r="EV492" s="58"/>
      <c r="EW492" s="58"/>
      <c r="EX492" s="58"/>
      <c r="EY492" s="58"/>
      <c r="EZ492" s="58"/>
      <c r="FA492" s="58"/>
      <c r="FB492" s="58"/>
      <c r="FC492" s="58"/>
      <c r="FD492" s="58"/>
      <c r="FE492" s="58"/>
      <c r="FF492" s="58"/>
      <c r="FG492" s="58"/>
      <c r="FH492" s="58"/>
      <c r="FI492" s="58"/>
      <c r="FJ492" s="58"/>
      <c r="FK492" s="58"/>
      <c r="FL492" s="58"/>
      <c r="FM492" s="58"/>
    </row>
    <row r="493">
      <c r="ET493" s="58"/>
      <c r="EU493" s="58"/>
      <c r="EV493" s="58"/>
      <c r="EW493" s="58"/>
      <c r="EX493" s="58"/>
      <c r="EY493" s="58"/>
      <c r="EZ493" s="58"/>
      <c r="FA493" s="58"/>
      <c r="FB493" s="58"/>
      <c r="FC493" s="58"/>
      <c r="FD493" s="58"/>
      <c r="FE493" s="58"/>
      <c r="FF493" s="58"/>
      <c r="FG493" s="58"/>
      <c r="FH493" s="58"/>
      <c r="FI493" s="58"/>
      <c r="FJ493" s="58"/>
      <c r="FK493" s="58"/>
      <c r="FL493" s="58"/>
      <c r="FM493" s="58"/>
    </row>
    <row r="494">
      <c r="ET494" s="58"/>
      <c r="EU494" s="58"/>
      <c r="EV494" s="58"/>
      <c r="EW494" s="58"/>
      <c r="EX494" s="58"/>
      <c r="EY494" s="58"/>
      <c r="EZ494" s="58"/>
      <c r="FA494" s="58"/>
      <c r="FB494" s="58"/>
      <c r="FC494" s="58"/>
      <c r="FD494" s="58"/>
      <c r="FE494" s="58"/>
      <c r="FF494" s="58"/>
      <c r="FG494" s="58"/>
      <c r="FH494" s="58"/>
      <c r="FI494" s="58"/>
      <c r="FJ494" s="58"/>
      <c r="FK494" s="58"/>
      <c r="FL494" s="58"/>
      <c r="FM494" s="58"/>
    </row>
    <row r="495">
      <c r="ET495" s="58"/>
      <c r="EU495" s="58"/>
      <c r="EV495" s="58"/>
      <c r="EW495" s="58"/>
      <c r="EX495" s="58"/>
      <c r="EY495" s="58"/>
      <c r="EZ495" s="58"/>
      <c r="FA495" s="58"/>
      <c r="FB495" s="58"/>
      <c r="FC495" s="58"/>
      <c r="FD495" s="58"/>
      <c r="FE495" s="58"/>
      <c r="FF495" s="58"/>
      <c r="FG495" s="58"/>
      <c r="FH495" s="58"/>
      <c r="FI495" s="58"/>
      <c r="FJ495" s="58"/>
      <c r="FK495" s="58"/>
      <c r="FL495" s="58"/>
      <c r="FM495" s="58"/>
    </row>
    <row r="496">
      <c r="ET496" s="58"/>
      <c r="EU496" s="58"/>
      <c r="EV496" s="58"/>
      <c r="EW496" s="58"/>
      <c r="EX496" s="58"/>
      <c r="EY496" s="58"/>
      <c r="EZ496" s="58"/>
      <c r="FA496" s="58"/>
      <c r="FB496" s="58"/>
      <c r="FC496" s="58"/>
      <c r="FD496" s="58"/>
      <c r="FE496" s="58"/>
      <c r="FF496" s="58"/>
      <c r="FG496" s="58"/>
      <c r="FH496" s="58"/>
      <c r="FI496" s="58"/>
      <c r="FJ496" s="58"/>
      <c r="FK496" s="58"/>
      <c r="FL496" s="58"/>
      <c r="FM496" s="58"/>
    </row>
    <row r="497">
      <c r="ET497" s="58"/>
      <c r="EU497" s="58"/>
      <c r="EV497" s="58"/>
      <c r="EW497" s="58"/>
      <c r="EX497" s="58"/>
      <c r="EY497" s="58"/>
      <c r="EZ497" s="58"/>
      <c r="FA497" s="58"/>
      <c r="FB497" s="58"/>
      <c r="FC497" s="58"/>
      <c r="FD497" s="58"/>
      <c r="FE497" s="58"/>
      <c r="FF497" s="58"/>
      <c r="FG497" s="58"/>
      <c r="FH497" s="58"/>
      <c r="FI497" s="58"/>
      <c r="FJ497" s="58"/>
      <c r="FK497" s="58"/>
      <c r="FL497" s="58"/>
      <c r="FM497" s="58"/>
    </row>
    <row r="498">
      <c r="ET498" s="58"/>
      <c r="EU498" s="58"/>
      <c r="EV498" s="58"/>
      <c r="EW498" s="58"/>
      <c r="EX498" s="58"/>
      <c r="EY498" s="58"/>
      <c r="EZ498" s="58"/>
      <c r="FA498" s="58"/>
      <c r="FB498" s="58"/>
      <c r="FC498" s="58"/>
      <c r="FD498" s="58"/>
      <c r="FE498" s="58"/>
      <c r="FF498" s="58"/>
      <c r="FG498" s="58"/>
      <c r="FH498" s="58"/>
      <c r="FI498" s="58"/>
      <c r="FJ498" s="58"/>
      <c r="FK498" s="58"/>
      <c r="FL498" s="58"/>
      <c r="FM498" s="58"/>
    </row>
    <row r="499">
      <c r="ET499" s="58"/>
      <c r="EU499" s="58"/>
      <c r="EV499" s="58"/>
      <c r="EW499" s="58"/>
      <c r="EX499" s="58"/>
      <c r="EY499" s="58"/>
      <c r="EZ499" s="58"/>
      <c r="FA499" s="58"/>
      <c r="FB499" s="58"/>
      <c r="FC499" s="58"/>
      <c r="FD499" s="58"/>
      <c r="FE499" s="58"/>
      <c r="FF499" s="58"/>
      <c r="FG499" s="58"/>
      <c r="FH499" s="58"/>
      <c r="FI499" s="58"/>
      <c r="FJ499" s="58"/>
      <c r="FK499" s="58"/>
      <c r="FL499" s="58"/>
      <c r="FM499" s="58"/>
    </row>
    <row r="500">
      <c r="ET500" s="58"/>
      <c r="EU500" s="58"/>
      <c r="EV500" s="58"/>
      <c r="EW500" s="58"/>
      <c r="EX500" s="58"/>
      <c r="EY500" s="58"/>
      <c r="EZ500" s="58"/>
      <c r="FA500" s="58"/>
      <c r="FB500" s="58"/>
      <c r="FC500" s="58"/>
      <c r="FD500" s="58"/>
      <c r="FE500" s="58"/>
      <c r="FF500" s="58"/>
      <c r="FG500" s="58"/>
      <c r="FH500" s="58"/>
      <c r="FI500" s="58"/>
      <c r="FJ500" s="58"/>
      <c r="FK500" s="58"/>
      <c r="FL500" s="58"/>
      <c r="FM500" s="58"/>
    </row>
    <row r="501">
      <c r="ET501" s="58"/>
      <c r="EU501" s="58"/>
      <c r="EV501" s="58"/>
      <c r="EW501" s="58"/>
      <c r="EX501" s="58"/>
      <c r="EY501" s="58"/>
      <c r="EZ501" s="58"/>
      <c r="FA501" s="58"/>
      <c r="FB501" s="58"/>
      <c r="FC501" s="58"/>
      <c r="FD501" s="58"/>
      <c r="FE501" s="58"/>
      <c r="FF501" s="58"/>
      <c r="FG501" s="58"/>
      <c r="FH501" s="58"/>
      <c r="FI501" s="58"/>
      <c r="FJ501" s="58"/>
      <c r="FK501" s="58"/>
      <c r="FL501" s="58"/>
      <c r="FM501" s="58"/>
    </row>
    <row r="502">
      <c r="ET502" s="58"/>
      <c r="EU502" s="58"/>
      <c r="EV502" s="58"/>
      <c r="EW502" s="58"/>
      <c r="EX502" s="58"/>
      <c r="EY502" s="58"/>
      <c r="EZ502" s="58"/>
      <c r="FA502" s="58"/>
      <c r="FB502" s="58"/>
      <c r="FC502" s="58"/>
      <c r="FD502" s="58"/>
      <c r="FE502" s="58"/>
      <c r="FF502" s="58"/>
      <c r="FG502" s="58"/>
      <c r="FH502" s="58"/>
      <c r="FI502" s="58"/>
      <c r="FJ502" s="58"/>
      <c r="FK502" s="58"/>
      <c r="FL502" s="58"/>
      <c r="FM502" s="58"/>
    </row>
    <row r="503">
      <c r="ET503" s="58"/>
      <c r="EU503" s="58"/>
      <c r="EV503" s="58"/>
      <c r="EW503" s="58"/>
      <c r="EX503" s="58"/>
      <c r="EY503" s="58"/>
      <c r="EZ503" s="58"/>
      <c r="FA503" s="58"/>
      <c r="FB503" s="58"/>
      <c r="FC503" s="58"/>
      <c r="FD503" s="58"/>
      <c r="FE503" s="58"/>
      <c r="FF503" s="58"/>
      <c r="FG503" s="58"/>
      <c r="FH503" s="58"/>
      <c r="FI503" s="58"/>
      <c r="FJ503" s="58"/>
      <c r="FK503" s="58"/>
      <c r="FL503" s="58"/>
      <c r="FM503" s="58"/>
    </row>
    <row r="504">
      <c r="ET504" s="58"/>
      <c r="EU504" s="58"/>
      <c r="EV504" s="58"/>
      <c r="EW504" s="58"/>
      <c r="EX504" s="58"/>
      <c r="EY504" s="58"/>
      <c r="EZ504" s="58"/>
      <c r="FA504" s="58"/>
      <c r="FB504" s="58"/>
      <c r="FC504" s="58"/>
      <c r="FD504" s="58"/>
      <c r="FE504" s="58"/>
      <c r="FF504" s="58"/>
      <c r="FG504" s="58"/>
      <c r="FH504" s="58"/>
      <c r="FI504" s="58"/>
      <c r="FJ504" s="58"/>
      <c r="FK504" s="58"/>
      <c r="FL504" s="58"/>
      <c r="FM504" s="58"/>
    </row>
    <row r="505">
      <c r="ET505" s="58"/>
      <c r="EU505" s="58"/>
      <c r="EV505" s="58"/>
      <c r="EW505" s="58"/>
      <c r="EX505" s="58"/>
      <c r="EY505" s="58"/>
      <c r="EZ505" s="58"/>
      <c r="FA505" s="58"/>
      <c r="FB505" s="58"/>
      <c r="FC505" s="58"/>
      <c r="FD505" s="58"/>
      <c r="FE505" s="58"/>
      <c r="FF505" s="58"/>
      <c r="FG505" s="58"/>
      <c r="FH505" s="58"/>
      <c r="FI505" s="58"/>
      <c r="FJ505" s="58"/>
      <c r="FK505" s="58"/>
      <c r="FL505" s="58"/>
      <c r="FM505" s="58"/>
    </row>
    <row r="506">
      <c r="ET506" s="58"/>
      <c r="EU506" s="58"/>
      <c r="EV506" s="58"/>
      <c r="EW506" s="58"/>
      <c r="EX506" s="58"/>
      <c r="EY506" s="58"/>
      <c r="EZ506" s="58"/>
      <c r="FA506" s="58"/>
      <c r="FB506" s="58"/>
      <c r="FC506" s="58"/>
      <c r="FD506" s="58"/>
      <c r="FE506" s="58"/>
      <c r="FF506" s="58"/>
      <c r="FG506" s="58"/>
      <c r="FH506" s="58"/>
      <c r="FI506" s="58"/>
      <c r="FJ506" s="58"/>
      <c r="FK506" s="58"/>
      <c r="FL506" s="58"/>
      <c r="FM506" s="58"/>
    </row>
    <row r="507">
      <c r="ET507" s="58"/>
      <c r="EU507" s="58"/>
      <c r="EV507" s="58"/>
      <c r="EW507" s="58"/>
      <c r="EX507" s="58"/>
      <c r="EY507" s="58"/>
      <c r="EZ507" s="58"/>
      <c r="FA507" s="58"/>
      <c r="FB507" s="58"/>
      <c r="FC507" s="58"/>
      <c r="FD507" s="58"/>
      <c r="FE507" s="58"/>
      <c r="FF507" s="58"/>
      <c r="FG507" s="58"/>
      <c r="FH507" s="58"/>
      <c r="FI507" s="58"/>
      <c r="FJ507" s="58"/>
      <c r="FK507" s="58"/>
      <c r="FL507" s="58"/>
      <c r="FM507" s="58"/>
    </row>
    <row r="508">
      <c r="ET508" s="58"/>
      <c r="EU508" s="58"/>
      <c r="EV508" s="58"/>
      <c r="EW508" s="58"/>
      <c r="EX508" s="58"/>
      <c r="EY508" s="58"/>
      <c r="EZ508" s="58"/>
      <c r="FA508" s="58"/>
      <c r="FB508" s="58"/>
      <c r="FC508" s="58"/>
      <c r="FD508" s="58"/>
      <c r="FE508" s="58"/>
      <c r="FF508" s="58"/>
      <c r="FG508" s="58"/>
      <c r="FH508" s="58"/>
      <c r="FI508" s="58"/>
      <c r="FJ508" s="58"/>
      <c r="FK508" s="58"/>
      <c r="FL508" s="58"/>
      <c r="FM508" s="58"/>
    </row>
    <row r="509">
      <c r="ET509" s="58"/>
      <c r="EU509" s="58"/>
      <c r="EV509" s="58"/>
      <c r="EW509" s="58"/>
      <c r="EX509" s="58"/>
      <c r="EY509" s="58"/>
      <c r="EZ509" s="58"/>
      <c r="FA509" s="58"/>
      <c r="FB509" s="58"/>
      <c r="FC509" s="58"/>
      <c r="FD509" s="58"/>
      <c r="FE509" s="58"/>
      <c r="FF509" s="58"/>
      <c r="FG509" s="58"/>
      <c r="FH509" s="58"/>
      <c r="FI509" s="58"/>
      <c r="FJ509" s="58"/>
      <c r="FK509" s="58"/>
      <c r="FL509" s="58"/>
      <c r="FM509" s="58"/>
    </row>
    <row r="510">
      <c r="ET510" s="58"/>
      <c r="EU510" s="58"/>
      <c r="EV510" s="58"/>
      <c r="EW510" s="58"/>
      <c r="EX510" s="58"/>
      <c r="EY510" s="58"/>
      <c r="EZ510" s="58"/>
      <c r="FA510" s="58"/>
      <c r="FB510" s="58"/>
      <c r="FC510" s="58"/>
      <c r="FD510" s="58"/>
      <c r="FE510" s="58"/>
      <c r="FF510" s="58"/>
      <c r="FG510" s="58"/>
      <c r="FH510" s="58"/>
      <c r="FI510" s="58"/>
      <c r="FJ510" s="58"/>
      <c r="FK510" s="58"/>
      <c r="FL510" s="58"/>
      <c r="FM510" s="58"/>
    </row>
    <row r="511">
      <c r="ET511" s="58"/>
      <c r="EU511" s="58"/>
      <c r="EV511" s="58"/>
      <c r="EW511" s="58"/>
      <c r="EX511" s="58"/>
      <c r="EY511" s="58"/>
      <c r="EZ511" s="58"/>
      <c r="FA511" s="58"/>
      <c r="FB511" s="58"/>
      <c r="FC511" s="58"/>
      <c r="FD511" s="58"/>
      <c r="FE511" s="58"/>
      <c r="FF511" s="58"/>
      <c r="FG511" s="58"/>
      <c r="FH511" s="58"/>
      <c r="FI511" s="58"/>
      <c r="FJ511" s="58"/>
      <c r="FK511" s="58"/>
      <c r="FL511" s="58"/>
      <c r="FM511" s="58"/>
    </row>
    <row r="512">
      <c r="ET512" s="58"/>
      <c r="EU512" s="58"/>
      <c r="EV512" s="58"/>
      <c r="EW512" s="58"/>
      <c r="EX512" s="58"/>
      <c r="EY512" s="58"/>
      <c r="EZ512" s="58"/>
      <c r="FA512" s="58"/>
      <c r="FB512" s="58"/>
      <c r="FC512" s="58"/>
      <c r="FD512" s="58"/>
      <c r="FE512" s="58"/>
      <c r="FF512" s="58"/>
      <c r="FG512" s="58"/>
      <c r="FH512" s="58"/>
      <c r="FI512" s="58"/>
      <c r="FJ512" s="58"/>
      <c r="FK512" s="58"/>
      <c r="FL512" s="58"/>
      <c r="FM512" s="58"/>
    </row>
    <row r="513">
      <c r="ET513" s="58"/>
      <c r="EU513" s="58"/>
      <c r="EV513" s="58"/>
      <c r="EW513" s="58"/>
      <c r="EX513" s="58"/>
      <c r="EY513" s="58"/>
      <c r="EZ513" s="58"/>
      <c r="FA513" s="58"/>
      <c r="FB513" s="58"/>
      <c r="FC513" s="58"/>
      <c r="FD513" s="58"/>
      <c r="FE513" s="58"/>
      <c r="FF513" s="58"/>
      <c r="FG513" s="58"/>
      <c r="FH513" s="58"/>
      <c r="FI513" s="58"/>
      <c r="FJ513" s="58"/>
      <c r="FK513" s="58"/>
      <c r="FL513" s="58"/>
      <c r="FM513" s="58"/>
    </row>
    <row r="514">
      <c r="ET514" s="58"/>
      <c r="EU514" s="58"/>
      <c r="EV514" s="58"/>
      <c r="EW514" s="58"/>
      <c r="EX514" s="58"/>
      <c r="EY514" s="58"/>
      <c r="EZ514" s="58"/>
      <c r="FA514" s="58"/>
      <c r="FB514" s="58"/>
      <c r="FC514" s="58"/>
      <c r="FD514" s="58"/>
      <c r="FE514" s="58"/>
      <c r="FF514" s="58"/>
      <c r="FG514" s="58"/>
      <c r="FH514" s="58"/>
      <c r="FI514" s="58"/>
      <c r="FJ514" s="58"/>
      <c r="FK514" s="58"/>
      <c r="FL514" s="58"/>
      <c r="FM514" s="58"/>
    </row>
    <row r="515">
      <c r="ET515" s="58"/>
      <c r="EU515" s="58"/>
      <c r="EV515" s="58"/>
      <c r="EW515" s="58"/>
      <c r="EX515" s="58"/>
      <c r="EY515" s="58"/>
      <c r="EZ515" s="58"/>
      <c r="FA515" s="58"/>
      <c r="FB515" s="58"/>
      <c r="FC515" s="58"/>
      <c r="FD515" s="58"/>
      <c r="FE515" s="58"/>
      <c r="FF515" s="58"/>
      <c r="FG515" s="58"/>
      <c r="FH515" s="58"/>
      <c r="FI515" s="58"/>
      <c r="FJ515" s="58"/>
      <c r="FK515" s="58"/>
      <c r="FL515" s="58"/>
      <c r="FM515" s="58"/>
    </row>
    <row r="516">
      <c r="ET516" s="58"/>
      <c r="EU516" s="58"/>
      <c r="EV516" s="58"/>
      <c r="EW516" s="58"/>
      <c r="EX516" s="58"/>
      <c r="EY516" s="58"/>
      <c r="EZ516" s="58"/>
      <c r="FA516" s="58"/>
      <c r="FB516" s="58"/>
      <c r="FC516" s="58"/>
      <c r="FD516" s="58"/>
      <c r="FE516" s="58"/>
      <c r="FF516" s="58"/>
      <c r="FG516" s="58"/>
      <c r="FH516" s="58"/>
      <c r="FI516" s="58"/>
      <c r="FJ516" s="58"/>
      <c r="FK516" s="58"/>
      <c r="FL516" s="58"/>
      <c r="FM516" s="58"/>
    </row>
    <row r="517">
      <c r="ET517" s="58"/>
      <c r="EU517" s="58"/>
      <c r="EV517" s="58"/>
      <c r="EW517" s="58"/>
      <c r="EX517" s="58"/>
      <c r="EY517" s="58"/>
      <c r="EZ517" s="58"/>
      <c r="FA517" s="58"/>
      <c r="FB517" s="58"/>
      <c r="FC517" s="58"/>
      <c r="FD517" s="58"/>
      <c r="FE517" s="58"/>
      <c r="FF517" s="58"/>
      <c r="FG517" s="58"/>
      <c r="FH517" s="58"/>
      <c r="FI517" s="58"/>
      <c r="FJ517" s="58"/>
      <c r="FK517" s="58"/>
      <c r="FL517" s="58"/>
      <c r="FM517" s="58"/>
    </row>
    <row r="518">
      <c r="ET518" s="58"/>
      <c r="EU518" s="58"/>
      <c r="EV518" s="58"/>
      <c r="EW518" s="58"/>
      <c r="EX518" s="58"/>
      <c r="EY518" s="58"/>
      <c r="EZ518" s="58"/>
      <c r="FA518" s="58"/>
      <c r="FB518" s="58"/>
      <c r="FC518" s="58"/>
      <c r="FD518" s="58"/>
      <c r="FE518" s="58"/>
      <c r="FF518" s="58"/>
      <c r="FG518" s="58"/>
      <c r="FH518" s="58"/>
      <c r="FI518" s="58"/>
      <c r="FJ518" s="58"/>
      <c r="FK518" s="58"/>
      <c r="FL518" s="58"/>
      <c r="FM518" s="58"/>
    </row>
    <row r="519">
      <c r="ET519" s="58"/>
      <c r="EU519" s="58"/>
      <c r="EV519" s="58"/>
      <c r="EW519" s="58"/>
      <c r="EX519" s="58"/>
      <c r="EY519" s="58"/>
      <c r="EZ519" s="58"/>
      <c r="FA519" s="58"/>
      <c r="FB519" s="58"/>
      <c r="FC519" s="58"/>
      <c r="FD519" s="58"/>
      <c r="FE519" s="58"/>
      <c r="FF519" s="58"/>
      <c r="FG519" s="58"/>
      <c r="FH519" s="58"/>
      <c r="FI519" s="58"/>
      <c r="FJ519" s="58"/>
      <c r="FK519" s="58"/>
      <c r="FL519" s="58"/>
      <c r="FM519" s="58"/>
    </row>
    <row r="520">
      <c r="ET520" s="58"/>
      <c r="EU520" s="58"/>
      <c r="EV520" s="58"/>
      <c r="EW520" s="58"/>
      <c r="EX520" s="58"/>
      <c r="EY520" s="58"/>
      <c r="EZ520" s="58"/>
      <c r="FA520" s="58"/>
      <c r="FB520" s="58"/>
      <c r="FC520" s="58"/>
      <c r="FD520" s="58"/>
      <c r="FE520" s="58"/>
      <c r="FF520" s="58"/>
      <c r="FG520" s="58"/>
      <c r="FH520" s="58"/>
      <c r="FI520" s="58"/>
      <c r="FJ520" s="58"/>
      <c r="FK520" s="58"/>
      <c r="FL520" s="58"/>
      <c r="FM520" s="58"/>
    </row>
    <row r="521">
      <c r="ET521" s="58"/>
      <c r="EU521" s="58"/>
      <c r="EV521" s="58"/>
      <c r="EW521" s="58"/>
      <c r="EX521" s="58"/>
      <c r="EY521" s="58"/>
      <c r="EZ521" s="58"/>
      <c r="FA521" s="58"/>
      <c r="FB521" s="58"/>
      <c r="FC521" s="58"/>
      <c r="FD521" s="58"/>
      <c r="FE521" s="58"/>
      <c r="FF521" s="58"/>
      <c r="FG521" s="58"/>
      <c r="FH521" s="58"/>
      <c r="FI521" s="58"/>
      <c r="FJ521" s="58"/>
      <c r="FK521" s="58"/>
      <c r="FL521" s="58"/>
      <c r="FM521" s="58"/>
    </row>
    <row r="522">
      <c r="ET522" s="58"/>
      <c r="EU522" s="58"/>
      <c r="EV522" s="58"/>
      <c r="EW522" s="58"/>
      <c r="EX522" s="58"/>
      <c r="EY522" s="58"/>
      <c r="EZ522" s="58"/>
      <c r="FA522" s="58"/>
      <c r="FB522" s="58"/>
      <c r="FC522" s="58"/>
      <c r="FD522" s="58"/>
      <c r="FE522" s="58"/>
      <c r="FF522" s="58"/>
      <c r="FG522" s="58"/>
      <c r="FH522" s="58"/>
      <c r="FI522" s="58"/>
      <c r="FJ522" s="58"/>
      <c r="FK522" s="58"/>
      <c r="FL522" s="58"/>
      <c r="FM522" s="58"/>
    </row>
    <row r="523">
      <c r="ET523" s="58"/>
      <c r="EU523" s="58"/>
      <c r="EV523" s="58"/>
      <c r="EW523" s="58"/>
      <c r="EX523" s="58"/>
      <c r="EY523" s="58"/>
      <c r="EZ523" s="58"/>
      <c r="FA523" s="58"/>
      <c r="FB523" s="58"/>
      <c r="FC523" s="58"/>
      <c r="FD523" s="58"/>
      <c r="FE523" s="58"/>
      <c r="FF523" s="58"/>
      <c r="FG523" s="58"/>
      <c r="FH523" s="58"/>
      <c r="FI523" s="58"/>
      <c r="FJ523" s="58"/>
      <c r="FK523" s="58"/>
      <c r="FL523" s="58"/>
      <c r="FM523" s="58"/>
    </row>
    <row r="524">
      <c r="ET524" s="58"/>
      <c r="EU524" s="58"/>
      <c r="EV524" s="58"/>
      <c r="EW524" s="58"/>
      <c r="EX524" s="58"/>
      <c r="EY524" s="58"/>
      <c r="EZ524" s="58"/>
      <c r="FA524" s="58"/>
      <c r="FB524" s="58"/>
      <c r="FC524" s="58"/>
      <c r="FD524" s="58"/>
      <c r="FE524" s="58"/>
      <c r="FF524" s="58"/>
      <c r="FG524" s="58"/>
      <c r="FH524" s="58"/>
      <c r="FI524" s="58"/>
      <c r="FJ524" s="58"/>
      <c r="FK524" s="58"/>
      <c r="FL524" s="58"/>
      <c r="FM524" s="58"/>
    </row>
    <row r="525">
      <c r="ET525" s="58"/>
      <c r="EU525" s="58"/>
      <c r="EV525" s="58"/>
      <c r="EW525" s="58"/>
      <c r="EX525" s="58"/>
      <c r="EY525" s="58"/>
      <c r="EZ525" s="58"/>
      <c r="FA525" s="58"/>
      <c r="FB525" s="58"/>
      <c r="FC525" s="58"/>
      <c r="FD525" s="58"/>
      <c r="FE525" s="58"/>
      <c r="FF525" s="58"/>
      <c r="FG525" s="58"/>
      <c r="FH525" s="58"/>
      <c r="FI525" s="58"/>
      <c r="FJ525" s="58"/>
      <c r="FK525" s="58"/>
      <c r="FL525" s="58"/>
      <c r="FM525" s="58"/>
    </row>
    <row r="526">
      <c r="ET526" s="58"/>
      <c r="EU526" s="58"/>
      <c r="EV526" s="58"/>
      <c r="EW526" s="58"/>
      <c r="EX526" s="58"/>
      <c r="EY526" s="58"/>
      <c r="EZ526" s="58"/>
      <c r="FA526" s="58"/>
      <c r="FB526" s="58"/>
      <c r="FC526" s="58"/>
      <c r="FD526" s="58"/>
      <c r="FE526" s="58"/>
      <c r="FF526" s="58"/>
      <c r="FG526" s="58"/>
      <c r="FH526" s="58"/>
      <c r="FI526" s="58"/>
      <c r="FJ526" s="58"/>
      <c r="FK526" s="58"/>
      <c r="FL526" s="58"/>
      <c r="FM526" s="58"/>
    </row>
    <row r="527">
      <c r="ET527" s="58"/>
      <c r="EU527" s="58"/>
      <c r="EV527" s="58"/>
      <c r="EW527" s="58"/>
      <c r="EX527" s="58"/>
      <c r="EY527" s="58"/>
      <c r="EZ527" s="58"/>
      <c r="FA527" s="58"/>
      <c r="FB527" s="58"/>
      <c r="FC527" s="58"/>
      <c r="FD527" s="58"/>
      <c r="FE527" s="58"/>
      <c r="FF527" s="58"/>
      <c r="FG527" s="58"/>
      <c r="FH527" s="58"/>
      <c r="FI527" s="58"/>
      <c r="FJ527" s="58"/>
      <c r="FK527" s="58"/>
      <c r="FL527" s="58"/>
      <c r="FM527" s="58"/>
    </row>
    <row r="528">
      <c r="ET528" s="58"/>
      <c r="EU528" s="58"/>
      <c r="EV528" s="58"/>
      <c r="EW528" s="58"/>
      <c r="EX528" s="58"/>
      <c r="EY528" s="58"/>
      <c r="EZ528" s="58"/>
      <c r="FA528" s="58"/>
      <c r="FB528" s="58"/>
      <c r="FC528" s="58"/>
      <c r="FD528" s="58"/>
      <c r="FE528" s="58"/>
      <c r="FF528" s="58"/>
      <c r="FG528" s="58"/>
      <c r="FH528" s="58"/>
      <c r="FI528" s="58"/>
      <c r="FJ528" s="58"/>
      <c r="FK528" s="58"/>
      <c r="FL528" s="58"/>
      <c r="FM528" s="58"/>
    </row>
    <row r="529">
      <c r="ET529" s="58"/>
      <c r="EU529" s="58"/>
      <c r="EV529" s="58"/>
      <c r="EW529" s="58"/>
      <c r="EX529" s="58"/>
      <c r="EY529" s="58"/>
      <c r="EZ529" s="58"/>
      <c r="FA529" s="58"/>
      <c r="FB529" s="58"/>
      <c r="FC529" s="58"/>
      <c r="FD529" s="58"/>
      <c r="FE529" s="58"/>
      <c r="FF529" s="58"/>
      <c r="FG529" s="58"/>
      <c r="FH529" s="58"/>
      <c r="FI529" s="58"/>
      <c r="FJ529" s="58"/>
      <c r="FK529" s="58"/>
      <c r="FL529" s="58"/>
      <c r="FM529" s="58"/>
    </row>
    <row r="530">
      <c r="ET530" s="58"/>
      <c r="EU530" s="58"/>
      <c r="EV530" s="58"/>
      <c r="EW530" s="58"/>
      <c r="EX530" s="58"/>
      <c r="EY530" s="58"/>
      <c r="EZ530" s="58"/>
      <c r="FA530" s="58"/>
      <c r="FB530" s="58"/>
      <c r="FC530" s="58"/>
      <c r="FD530" s="58"/>
      <c r="FE530" s="58"/>
      <c r="FF530" s="58"/>
      <c r="FG530" s="58"/>
      <c r="FH530" s="58"/>
      <c r="FI530" s="58"/>
      <c r="FJ530" s="58"/>
      <c r="FK530" s="58"/>
      <c r="FL530" s="58"/>
      <c r="FM530" s="58"/>
    </row>
    <row r="531">
      <c r="ET531" s="58"/>
      <c r="EU531" s="58"/>
      <c r="EV531" s="58"/>
      <c r="EW531" s="58"/>
      <c r="EX531" s="58"/>
      <c r="EY531" s="58"/>
      <c r="EZ531" s="58"/>
      <c r="FA531" s="58"/>
      <c r="FB531" s="58"/>
      <c r="FC531" s="58"/>
      <c r="FD531" s="58"/>
      <c r="FE531" s="58"/>
      <c r="FF531" s="58"/>
      <c r="FG531" s="58"/>
      <c r="FH531" s="58"/>
      <c r="FI531" s="58"/>
      <c r="FJ531" s="58"/>
      <c r="FK531" s="58"/>
      <c r="FL531" s="58"/>
      <c r="FM531" s="58"/>
    </row>
    <row r="532">
      <c r="ET532" s="58"/>
      <c r="EU532" s="58"/>
      <c r="EV532" s="58"/>
      <c r="EW532" s="58"/>
      <c r="EX532" s="58"/>
      <c r="EY532" s="58"/>
      <c r="EZ532" s="58"/>
      <c r="FA532" s="58"/>
      <c r="FB532" s="58"/>
      <c r="FC532" s="58"/>
      <c r="FD532" s="58"/>
      <c r="FE532" s="58"/>
      <c r="FF532" s="58"/>
      <c r="FG532" s="58"/>
      <c r="FH532" s="58"/>
      <c r="FI532" s="58"/>
      <c r="FJ532" s="58"/>
      <c r="FK532" s="58"/>
      <c r="FL532" s="58"/>
      <c r="FM532" s="58"/>
    </row>
    <row r="533">
      <c r="ET533" s="58"/>
      <c r="EU533" s="58"/>
      <c r="EV533" s="58"/>
      <c r="EW533" s="58"/>
      <c r="EX533" s="58"/>
      <c r="EY533" s="58"/>
      <c r="EZ533" s="58"/>
      <c r="FA533" s="58"/>
      <c r="FB533" s="58"/>
      <c r="FC533" s="58"/>
      <c r="FD533" s="58"/>
      <c r="FE533" s="58"/>
      <c r="FF533" s="58"/>
      <c r="FG533" s="58"/>
      <c r="FH533" s="58"/>
      <c r="FI533" s="58"/>
      <c r="FJ533" s="58"/>
      <c r="FK533" s="58"/>
      <c r="FL533" s="58"/>
      <c r="FM533" s="58"/>
    </row>
    <row r="534">
      <c r="ET534" s="58"/>
      <c r="EU534" s="58"/>
      <c r="EV534" s="58"/>
      <c r="EW534" s="58"/>
      <c r="EX534" s="58"/>
      <c r="EY534" s="58"/>
      <c r="EZ534" s="58"/>
      <c r="FA534" s="58"/>
      <c r="FB534" s="58"/>
      <c r="FC534" s="58"/>
      <c r="FD534" s="58"/>
      <c r="FE534" s="58"/>
      <c r="FF534" s="58"/>
      <c r="FG534" s="58"/>
      <c r="FH534" s="58"/>
      <c r="FI534" s="58"/>
      <c r="FJ534" s="58"/>
      <c r="FK534" s="58"/>
      <c r="FL534" s="58"/>
      <c r="FM534" s="58"/>
    </row>
    <row r="535">
      <c r="ET535" s="58"/>
      <c r="EU535" s="58"/>
      <c r="EV535" s="58"/>
      <c r="EW535" s="58"/>
      <c r="EX535" s="58"/>
      <c r="EY535" s="58"/>
      <c r="EZ535" s="58"/>
      <c r="FA535" s="58"/>
      <c r="FB535" s="58"/>
      <c r="FC535" s="58"/>
      <c r="FD535" s="58"/>
      <c r="FE535" s="58"/>
      <c r="FF535" s="58"/>
      <c r="FG535" s="58"/>
      <c r="FH535" s="58"/>
      <c r="FI535" s="58"/>
      <c r="FJ535" s="58"/>
      <c r="FK535" s="58"/>
      <c r="FL535" s="58"/>
      <c r="FM535" s="58"/>
    </row>
    <row r="536">
      <c r="ET536" s="58"/>
      <c r="EU536" s="58"/>
      <c r="EV536" s="58"/>
      <c r="EW536" s="58"/>
      <c r="EX536" s="58"/>
      <c r="EY536" s="58"/>
      <c r="EZ536" s="58"/>
      <c r="FA536" s="58"/>
      <c r="FB536" s="58"/>
      <c r="FC536" s="58"/>
      <c r="FD536" s="58"/>
      <c r="FE536" s="58"/>
      <c r="FF536" s="58"/>
      <c r="FG536" s="58"/>
      <c r="FH536" s="58"/>
      <c r="FI536" s="58"/>
      <c r="FJ536" s="58"/>
      <c r="FK536" s="58"/>
      <c r="FL536" s="58"/>
      <c r="FM536" s="58"/>
    </row>
    <row r="537">
      <c r="ET537" s="58"/>
      <c r="EU537" s="58"/>
      <c r="EV537" s="58"/>
      <c r="EW537" s="58"/>
      <c r="EX537" s="58"/>
      <c r="EY537" s="58"/>
      <c r="EZ537" s="58"/>
      <c r="FA537" s="58"/>
      <c r="FB537" s="58"/>
      <c r="FC537" s="58"/>
      <c r="FD537" s="58"/>
      <c r="FE537" s="58"/>
      <c r="FF537" s="58"/>
      <c r="FG537" s="58"/>
      <c r="FH537" s="58"/>
      <c r="FI537" s="58"/>
      <c r="FJ537" s="58"/>
      <c r="FK537" s="58"/>
      <c r="FL537" s="58"/>
      <c r="FM537" s="58"/>
    </row>
    <row r="538">
      <c r="ET538" s="58"/>
      <c r="EU538" s="58"/>
      <c r="EV538" s="58"/>
      <c r="EW538" s="58"/>
      <c r="EX538" s="58"/>
      <c r="EY538" s="58"/>
      <c r="EZ538" s="58"/>
      <c r="FA538" s="58"/>
      <c r="FB538" s="58"/>
      <c r="FC538" s="58"/>
      <c r="FD538" s="58"/>
      <c r="FE538" s="58"/>
      <c r="FF538" s="58"/>
      <c r="FG538" s="58"/>
      <c r="FH538" s="58"/>
      <c r="FI538" s="58"/>
      <c r="FJ538" s="58"/>
      <c r="FK538" s="58"/>
      <c r="FL538" s="58"/>
      <c r="FM538" s="58"/>
    </row>
    <row r="539">
      <c r="ET539" s="58"/>
      <c r="EU539" s="58"/>
      <c r="EV539" s="58"/>
      <c r="EW539" s="58"/>
      <c r="EX539" s="58"/>
      <c r="EY539" s="58"/>
      <c r="EZ539" s="58"/>
      <c r="FA539" s="58"/>
      <c r="FB539" s="58"/>
      <c r="FC539" s="58"/>
      <c r="FD539" s="58"/>
      <c r="FE539" s="58"/>
      <c r="FF539" s="58"/>
      <c r="FG539" s="58"/>
      <c r="FH539" s="58"/>
      <c r="FI539" s="58"/>
      <c r="FJ539" s="58"/>
      <c r="FK539" s="58"/>
      <c r="FL539" s="58"/>
      <c r="FM539" s="58"/>
    </row>
    <row r="540">
      <c r="ET540" s="58"/>
      <c r="EU540" s="58"/>
      <c r="EV540" s="58"/>
      <c r="EW540" s="58"/>
      <c r="EX540" s="58"/>
      <c r="EY540" s="58"/>
      <c r="EZ540" s="58"/>
      <c r="FA540" s="58"/>
      <c r="FB540" s="58"/>
      <c r="FC540" s="58"/>
      <c r="FD540" s="58"/>
      <c r="FE540" s="58"/>
      <c r="FF540" s="58"/>
      <c r="FG540" s="58"/>
      <c r="FH540" s="58"/>
      <c r="FI540" s="58"/>
      <c r="FJ540" s="58"/>
      <c r="FK540" s="58"/>
      <c r="FL540" s="58"/>
      <c r="FM540" s="58"/>
    </row>
    <row r="541">
      <c r="ET541" s="58"/>
      <c r="EU541" s="58"/>
      <c r="EV541" s="58"/>
      <c r="EW541" s="58"/>
      <c r="EX541" s="58"/>
      <c r="EY541" s="58"/>
      <c r="EZ541" s="58"/>
      <c r="FA541" s="58"/>
      <c r="FB541" s="58"/>
      <c r="FC541" s="58"/>
      <c r="FD541" s="58"/>
      <c r="FE541" s="58"/>
      <c r="FF541" s="58"/>
      <c r="FG541" s="58"/>
      <c r="FH541" s="58"/>
      <c r="FI541" s="58"/>
      <c r="FJ541" s="58"/>
      <c r="FK541" s="58"/>
      <c r="FL541" s="58"/>
      <c r="FM541" s="58"/>
    </row>
    <row r="542">
      <c r="ET542" s="58"/>
      <c r="EU542" s="58"/>
      <c r="EV542" s="58"/>
      <c r="EW542" s="58"/>
      <c r="EX542" s="58"/>
      <c r="EY542" s="58"/>
      <c r="EZ542" s="58"/>
      <c r="FA542" s="58"/>
      <c r="FB542" s="58"/>
      <c r="FC542" s="58"/>
      <c r="FD542" s="58"/>
      <c r="FE542" s="58"/>
      <c r="FF542" s="58"/>
      <c r="FG542" s="58"/>
      <c r="FH542" s="58"/>
      <c r="FI542" s="58"/>
      <c r="FJ542" s="58"/>
      <c r="FK542" s="58"/>
      <c r="FL542" s="58"/>
      <c r="FM542" s="58"/>
    </row>
    <row r="543">
      <c r="ET543" s="58"/>
      <c r="EU543" s="58"/>
      <c r="EV543" s="58"/>
      <c r="EW543" s="58"/>
      <c r="EX543" s="58"/>
      <c r="EY543" s="58"/>
      <c r="EZ543" s="58"/>
      <c r="FA543" s="58"/>
      <c r="FB543" s="58"/>
      <c r="FC543" s="58"/>
      <c r="FD543" s="58"/>
      <c r="FE543" s="58"/>
      <c r="FF543" s="58"/>
      <c r="FG543" s="58"/>
      <c r="FH543" s="58"/>
      <c r="FI543" s="58"/>
      <c r="FJ543" s="58"/>
      <c r="FK543" s="58"/>
      <c r="FL543" s="58"/>
      <c r="FM543" s="58"/>
    </row>
    <row r="544">
      <c r="ET544" s="58"/>
      <c r="EU544" s="58"/>
      <c r="EV544" s="58"/>
      <c r="EW544" s="58"/>
      <c r="EX544" s="58"/>
      <c r="EY544" s="58"/>
      <c r="EZ544" s="58"/>
      <c r="FA544" s="58"/>
      <c r="FB544" s="58"/>
      <c r="FC544" s="58"/>
      <c r="FD544" s="58"/>
      <c r="FE544" s="58"/>
      <c r="FF544" s="58"/>
      <c r="FG544" s="58"/>
      <c r="FH544" s="58"/>
      <c r="FI544" s="58"/>
      <c r="FJ544" s="58"/>
      <c r="FK544" s="58"/>
      <c r="FL544" s="58"/>
      <c r="FM544" s="58"/>
    </row>
    <row r="545">
      <c r="ET545" s="58"/>
      <c r="EU545" s="58"/>
      <c r="EV545" s="58"/>
      <c r="EW545" s="58"/>
      <c r="EX545" s="58"/>
      <c r="EY545" s="58"/>
      <c r="EZ545" s="58"/>
      <c r="FA545" s="58"/>
      <c r="FB545" s="58"/>
      <c r="FC545" s="58"/>
      <c r="FD545" s="58"/>
      <c r="FE545" s="58"/>
      <c r="FF545" s="58"/>
      <c r="FG545" s="58"/>
      <c r="FH545" s="58"/>
      <c r="FI545" s="58"/>
      <c r="FJ545" s="58"/>
      <c r="FK545" s="58"/>
      <c r="FL545" s="58"/>
      <c r="FM545" s="58"/>
    </row>
    <row r="546">
      <c r="ET546" s="58"/>
      <c r="EU546" s="58"/>
      <c r="EV546" s="58"/>
      <c r="EW546" s="58"/>
      <c r="EX546" s="58"/>
      <c r="EY546" s="58"/>
      <c r="EZ546" s="58"/>
      <c r="FA546" s="58"/>
      <c r="FB546" s="58"/>
      <c r="FC546" s="58"/>
      <c r="FD546" s="58"/>
      <c r="FE546" s="58"/>
      <c r="FF546" s="58"/>
      <c r="FG546" s="58"/>
      <c r="FH546" s="58"/>
      <c r="FI546" s="58"/>
      <c r="FJ546" s="58"/>
      <c r="FK546" s="58"/>
      <c r="FL546" s="58"/>
      <c r="FM546" s="58"/>
    </row>
    <row r="547">
      <c r="ET547" s="58"/>
      <c r="EU547" s="58"/>
      <c r="EV547" s="58"/>
      <c r="EW547" s="58"/>
      <c r="EX547" s="58"/>
      <c r="EY547" s="58"/>
      <c r="EZ547" s="58"/>
      <c r="FA547" s="58"/>
      <c r="FB547" s="58"/>
      <c r="FC547" s="58"/>
      <c r="FD547" s="58"/>
      <c r="FE547" s="58"/>
      <c r="FF547" s="58"/>
      <c r="FG547" s="58"/>
      <c r="FH547" s="58"/>
      <c r="FI547" s="58"/>
      <c r="FJ547" s="58"/>
      <c r="FK547" s="58"/>
      <c r="FL547" s="58"/>
      <c r="FM547" s="58"/>
    </row>
    <row r="548">
      <c r="ET548" s="58"/>
      <c r="EU548" s="58"/>
      <c r="EV548" s="58"/>
      <c r="EW548" s="58"/>
      <c r="EX548" s="58"/>
      <c r="EY548" s="58"/>
      <c r="EZ548" s="58"/>
      <c r="FA548" s="58"/>
      <c r="FB548" s="58"/>
      <c r="FC548" s="58"/>
      <c r="FD548" s="58"/>
      <c r="FE548" s="58"/>
      <c r="FF548" s="58"/>
      <c r="FG548" s="58"/>
      <c r="FH548" s="58"/>
      <c r="FI548" s="58"/>
      <c r="FJ548" s="58"/>
      <c r="FK548" s="58"/>
      <c r="FL548" s="58"/>
      <c r="FM548" s="58"/>
    </row>
    <row r="549">
      <c r="ET549" s="58"/>
      <c r="EU549" s="58"/>
      <c r="EV549" s="58"/>
      <c r="EW549" s="58"/>
      <c r="EX549" s="58"/>
      <c r="EY549" s="58"/>
      <c r="EZ549" s="58"/>
      <c r="FA549" s="58"/>
      <c r="FB549" s="58"/>
      <c r="FC549" s="58"/>
      <c r="FD549" s="58"/>
      <c r="FE549" s="58"/>
      <c r="FF549" s="58"/>
      <c r="FG549" s="58"/>
      <c r="FH549" s="58"/>
      <c r="FI549" s="58"/>
      <c r="FJ549" s="58"/>
      <c r="FK549" s="58"/>
      <c r="FL549" s="58"/>
      <c r="FM549" s="58"/>
    </row>
    <row r="550">
      <c r="ET550" s="58"/>
      <c r="EU550" s="58"/>
      <c r="EV550" s="58"/>
      <c r="EW550" s="58"/>
      <c r="EX550" s="58"/>
      <c r="EY550" s="58"/>
      <c r="EZ550" s="58"/>
      <c r="FA550" s="58"/>
      <c r="FB550" s="58"/>
      <c r="FC550" s="58"/>
      <c r="FD550" s="58"/>
      <c r="FE550" s="58"/>
      <c r="FF550" s="58"/>
      <c r="FG550" s="58"/>
      <c r="FH550" s="58"/>
      <c r="FI550" s="58"/>
      <c r="FJ550" s="58"/>
      <c r="FK550" s="58"/>
      <c r="FL550" s="58"/>
      <c r="FM550" s="58"/>
    </row>
    <row r="551">
      <c r="ET551" s="58"/>
      <c r="EU551" s="58"/>
      <c r="EV551" s="58"/>
      <c r="EW551" s="58"/>
      <c r="EX551" s="58"/>
      <c r="EY551" s="58"/>
      <c r="EZ551" s="58"/>
      <c r="FA551" s="58"/>
      <c r="FB551" s="58"/>
      <c r="FC551" s="58"/>
      <c r="FD551" s="58"/>
      <c r="FE551" s="58"/>
      <c r="FF551" s="58"/>
      <c r="FG551" s="58"/>
      <c r="FH551" s="58"/>
      <c r="FI551" s="58"/>
      <c r="FJ551" s="58"/>
      <c r="FK551" s="58"/>
      <c r="FL551" s="58"/>
      <c r="FM551" s="58"/>
    </row>
    <row r="552">
      <c r="ET552" s="58"/>
      <c r="EU552" s="58"/>
      <c r="EV552" s="58"/>
      <c r="EW552" s="58"/>
      <c r="EX552" s="58"/>
      <c r="EY552" s="58"/>
      <c r="EZ552" s="58"/>
      <c r="FA552" s="58"/>
      <c r="FB552" s="58"/>
      <c r="FC552" s="58"/>
      <c r="FD552" s="58"/>
      <c r="FE552" s="58"/>
      <c r="FF552" s="58"/>
      <c r="FG552" s="58"/>
      <c r="FH552" s="58"/>
      <c r="FI552" s="58"/>
      <c r="FJ552" s="58"/>
      <c r="FK552" s="58"/>
      <c r="FL552" s="58"/>
      <c r="FM552" s="58"/>
    </row>
    <row r="553">
      <c r="ET553" s="58"/>
      <c r="EU553" s="58"/>
      <c r="EV553" s="58"/>
      <c r="EW553" s="58"/>
      <c r="EX553" s="58"/>
      <c r="EY553" s="58"/>
      <c r="EZ553" s="58"/>
      <c r="FA553" s="58"/>
      <c r="FB553" s="58"/>
      <c r="FC553" s="58"/>
      <c r="FD553" s="58"/>
      <c r="FE553" s="58"/>
      <c r="FF553" s="58"/>
      <c r="FG553" s="58"/>
      <c r="FH553" s="58"/>
      <c r="FI553" s="58"/>
      <c r="FJ553" s="58"/>
      <c r="FK553" s="58"/>
      <c r="FL553" s="58"/>
      <c r="FM553" s="58"/>
    </row>
    <row r="554">
      <c r="ET554" s="58"/>
      <c r="EU554" s="58"/>
      <c r="EV554" s="58"/>
      <c r="EW554" s="58"/>
      <c r="EX554" s="58"/>
      <c r="EY554" s="58"/>
      <c r="EZ554" s="58"/>
      <c r="FA554" s="58"/>
      <c r="FB554" s="58"/>
      <c r="FC554" s="58"/>
      <c r="FD554" s="58"/>
      <c r="FE554" s="58"/>
      <c r="FF554" s="58"/>
      <c r="FG554" s="58"/>
      <c r="FH554" s="58"/>
      <c r="FI554" s="58"/>
      <c r="FJ554" s="58"/>
      <c r="FK554" s="58"/>
      <c r="FL554" s="58"/>
      <c r="FM554" s="58"/>
    </row>
    <row r="555">
      <c r="ET555" s="58"/>
      <c r="EU555" s="58"/>
      <c r="EV555" s="58"/>
      <c r="EW555" s="58"/>
      <c r="EX555" s="58"/>
      <c r="EY555" s="58"/>
      <c r="EZ555" s="58"/>
      <c r="FA555" s="58"/>
      <c r="FB555" s="58"/>
      <c r="FC555" s="58"/>
      <c r="FD555" s="58"/>
      <c r="FE555" s="58"/>
      <c r="FF555" s="58"/>
      <c r="FG555" s="58"/>
      <c r="FH555" s="58"/>
      <c r="FI555" s="58"/>
      <c r="FJ555" s="58"/>
      <c r="FK555" s="58"/>
      <c r="FL555" s="58"/>
      <c r="FM555" s="58"/>
    </row>
    <row r="556">
      <c r="ET556" s="58"/>
      <c r="EU556" s="58"/>
      <c r="EV556" s="58"/>
      <c r="EW556" s="58"/>
      <c r="EX556" s="58"/>
      <c r="EY556" s="58"/>
      <c r="EZ556" s="58"/>
      <c r="FA556" s="58"/>
      <c r="FB556" s="58"/>
      <c r="FC556" s="58"/>
      <c r="FD556" s="58"/>
      <c r="FE556" s="58"/>
      <c r="FF556" s="58"/>
      <c r="FG556" s="58"/>
      <c r="FH556" s="58"/>
      <c r="FI556" s="58"/>
      <c r="FJ556" s="58"/>
      <c r="FK556" s="58"/>
      <c r="FL556" s="58"/>
      <c r="FM556" s="58"/>
    </row>
    <row r="557">
      <c r="ET557" s="58"/>
      <c r="EU557" s="58"/>
      <c r="EV557" s="58"/>
      <c r="EW557" s="58"/>
      <c r="EX557" s="58"/>
      <c r="EY557" s="58"/>
      <c r="EZ557" s="58"/>
      <c r="FA557" s="58"/>
      <c r="FB557" s="58"/>
      <c r="FC557" s="58"/>
      <c r="FD557" s="58"/>
      <c r="FE557" s="58"/>
      <c r="FF557" s="58"/>
      <c r="FG557" s="58"/>
      <c r="FH557" s="58"/>
      <c r="FI557" s="58"/>
      <c r="FJ557" s="58"/>
      <c r="FK557" s="58"/>
      <c r="FL557" s="58"/>
      <c r="FM557" s="58"/>
    </row>
    <row r="558">
      <c r="ET558" s="58"/>
      <c r="EU558" s="58"/>
      <c r="EV558" s="58"/>
      <c r="EW558" s="58"/>
      <c r="EX558" s="58"/>
      <c r="EY558" s="58"/>
      <c r="EZ558" s="58"/>
      <c r="FA558" s="58"/>
      <c r="FB558" s="58"/>
      <c r="FC558" s="58"/>
      <c r="FD558" s="58"/>
      <c r="FE558" s="58"/>
      <c r="FF558" s="58"/>
      <c r="FG558" s="58"/>
      <c r="FH558" s="58"/>
      <c r="FI558" s="58"/>
      <c r="FJ558" s="58"/>
      <c r="FK558" s="58"/>
      <c r="FL558" s="58"/>
      <c r="FM558" s="58"/>
    </row>
    <row r="559">
      <c r="ET559" s="58"/>
      <c r="EU559" s="58"/>
      <c r="EV559" s="58"/>
      <c r="EW559" s="58"/>
      <c r="EX559" s="58"/>
      <c r="EY559" s="58"/>
      <c r="EZ559" s="58"/>
      <c r="FA559" s="58"/>
      <c r="FB559" s="58"/>
      <c r="FC559" s="58"/>
      <c r="FD559" s="58"/>
      <c r="FE559" s="58"/>
      <c r="FF559" s="58"/>
      <c r="FG559" s="58"/>
      <c r="FH559" s="58"/>
      <c r="FI559" s="58"/>
      <c r="FJ559" s="58"/>
      <c r="FK559" s="58"/>
      <c r="FL559" s="58"/>
      <c r="FM559" s="58"/>
    </row>
    <row r="560">
      <c r="ET560" s="58"/>
      <c r="EU560" s="58"/>
      <c r="EV560" s="58"/>
      <c r="EW560" s="58"/>
      <c r="EX560" s="58"/>
      <c r="EY560" s="58"/>
      <c r="EZ560" s="58"/>
      <c r="FA560" s="58"/>
      <c r="FB560" s="58"/>
      <c r="FC560" s="58"/>
      <c r="FD560" s="58"/>
      <c r="FE560" s="58"/>
      <c r="FF560" s="58"/>
      <c r="FG560" s="58"/>
      <c r="FH560" s="58"/>
      <c r="FI560" s="58"/>
      <c r="FJ560" s="58"/>
      <c r="FK560" s="58"/>
      <c r="FL560" s="58"/>
      <c r="FM560" s="58"/>
    </row>
    <row r="561">
      <c r="ET561" s="58"/>
      <c r="EU561" s="58"/>
      <c r="EV561" s="58"/>
      <c r="EW561" s="58"/>
      <c r="EX561" s="58"/>
      <c r="EY561" s="58"/>
      <c r="EZ561" s="58"/>
      <c r="FA561" s="58"/>
      <c r="FB561" s="58"/>
      <c r="FC561" s="58"/>
      <c r="FD561" s="58"/>
      <c r="FE561" s="58"/>
      <c r="FF561" s="58"/>
      <c r="FG561" s="58"/>
      <c r="FH561" s="58"/>
      <c r="FI561" s="58"/>
      <c r="FJ561" s="58"/>
      <c r="FK561" s="58"/>
      <c r="FL561" s="58"/>
      <c r="FM561" s="58"/>
    </row>
    <row r="562">
      <c r="ET562" s="58"/>
      <c r="EU562" s="58"/>
      <c r="EV562" s="58"/>
      <c r="EW562" s="58"/>
      <c r="EX562" s="58"/>
      <c r="EY562" s="58"/>
      <c r="EZ562" s="58"/>
      <c r="FA562" s="58"/>
      <c r="FB562" s="58"/>
      <c r="FC562" s="58"/>
      <c r="FD562" s="58"/>
      <c r="FE562" s="58"/>
      <c r="FF562" s="58"/>
      <c r="FG562" s="58"/>
      <c r="FH562" s="58"/>
      <c r="FI562" s="58"/>
      <c r="FJ562" s="58"/>
      <c r="FK562" s="58"/>
      <c r="FL562" s="58"/>
      <c r="FM562" s="58"/>
    </row>
    <row r="563">
      <c r="ET563" s="58"/>
      <c r="EU563" s="58"/>
      <c r="EV563" s="58"/>
      <c r="EW563" s="58"/>
      <c r="EX563" s="58"/>
      <c r="EY563" s="58"/>
      <c r="EZ563" s="58"/>
      <c r="FA563" s="58"/>
      <c r="FB563" s="58"/>
      <c r="FC563" s="58"/>
      <c r="FD563" s="58"/>
      <c r="FE563" s="58"/>
      <c r="FF563" s="58"/>
      <c r="FG563" s="58"/>
      <c r="FH563" s="58"/>
      <c r="FI563" s="58"/>
      <c r="FJ563" s="58"/>
      <c r="FK563" s="58"/>
      <c r="FL563" s="58"/>
      <c r="FM563" s="58"/>
    </row>
    <row r="564">
      <c r="ET564" s="58"/>
      <c r="EU564" s="58"/>
      <c r="EV564" s="58"/>
      <c r="EW564" s="58"/>
      <c r="EX564" s="58"/>
      <c r="EY564" s="58"/>
      <c r="EZ564" s="58"/>
      <c r="FA564" s="58"/>
      <c r="FB564" s="58"/>
      <c r="FC564" s="58"/>
      <c r="FD564" s="58"/>
      <c r="FE564" s="58"/>
      <c r="FF564" s="58"/>
      <c r="FG564" s="58"/>
      <c r="FH564" s="58"/>
      <c r="FI564" s="58"/>
      <c r="FJ564" s="58"/>
      <c r="FK564" s="58"/>
      <c r="FL564" s="58"/>
      <c r="FM564" s="58"/>
    </row>
    <row r="565">
      <c r="ET565" s="58"/>
      <c r="EU565" s="58"/>
      <c r="EV565" s="58"/>
      <c r="EW565" s="58"/>
      <c r="EX565" s="58"/>
      <c r="EY565" s="58"/>
      <c r="EZ565" s="58"/>
      <c r="FA565" s="58"/>
      <c r="FB565" s="58"/>
      <c r="FC565" s="58"/>
      <c r="FD565" s="58"/>
      <c r="FE565" s="58"/>
      <c r="FF565" s="58"/>
      <c r="FG565" s="58"/>
      <c r="FH565" s="58"/>
      <c r="FI565" s="58"/>
      <c r="FJ565" s="58"/>
      <c r="FK565" s="58"/>
      <c r="FL565" s="58"/>
      <c r="FM565" s="58"/>
    </row>
    <row r="566">
      <c r="ET566" s="58"/>
      <c r="EU566" s="58"/>
      <c r="EV566" s="58"/>
      <c r="EW566" s="58"/>
      <c r="EX566" s="58"/>
      <c r="EY566" s="58"/>
      <c r="EZ566" s="58"/>
      <c r="FA566" s="58"/>
      <c r="FB566" s="58"/>
      <c r="FC566" s="58"/>
      <c r="FD566" s="58"/>
      <c r="FE566" s="58"/>
      <c r="FF566" s="58"/>
      <c r="FG566" s="58"/>
      <c r="FH566" s="58"/>
      <c r="FI566" s="58"/>
      <c r="FJ566" s="58"/>
      <c r="FK566" s="58"/>
      <c r="FL566" s="58"/>
      <c r="FM566" s="58"/>
    </row>
    <row r="567">
      <c r="ET567" s="58"/>
      <c r="EU567" s="58"/>
      <c r="EV567" s="58"/>
      <c r="EW567" s="58"/>
      <c r="EX567" s="58"/>
      <c r="EY567" s="58"/>
      <c r="EZ567" s="58"/>
      <c r="FA567" s="58"/>
      <c r="FB567" s="58"/>
      <c r="FC567" s="58"/>
      <c r="FD567" s="58"/>
      <c r="FE567" s="58"/>
      <c r="FF567" s="58"/>
      <c r="FG567" s="58"/>
      <c r="FH567" s="58"/>
      <c r="FI567" s="58"/>
      <c r="FJ567" s="58"/>
      <c r="FK567" s="58"/>
      <c r="FL567" s="58"/>
      <c r="FM567" s="58"/>
    </row>
    <row r="568">
      <c r="ET568" s="58"/>
      <c r="EU568" s="58"/>
      <c r="EV568" s="58"/>
      <c r="EW568" s="58"/>
      <c r="EX568" s="58"/>
      <c r="EY568" s="58"/>
      <c r="EZ568" s="58"/>
      <c r="FA568" s="58"/>
      <c r="FB568" s="58"/>
      <c r="FC568" s="58"/>
      <c r="FD568" s="58"/>
      <c r="FE568" s="58"/>
      <c r="FF568" s="58"/>
      <c r="FG568" s="58"/>
      <c r="FH568" s="58"/>
      <c r="FI568" s="58"/>
      <c r="FJ568" s="58"/>
      <c r="FK568" s="58"/>
      <c r="FL568" s="58"/>
      <c r="FM568" s="58"/>
    </row>
    <row r="569">
      <c r="ET569" s="58"/>
      <c r="EU569" s="58"/>
      <c r="EV569" s="58"/>
      <c r="EW569" s="58"/>
      <c r="EX569" s="58"/>
      <c r="EY569" s="58"/>
      <c r="EZ569" s="58"/>
      <c r="FA569" s="58"/>
      <c r="FB569" s="58"/>
      <c r="FC569" s="58"/>
      <c r="FD569" s="58"/>
      <c r="FE569" s="58"/>
      <c r="FF569" s="58"/>
      <c r="FG569" s="58"/>
      <c r="FH569" s="58"/>
      <c r="FI569" s="58"/>
      <c r="FJ569" s="58"/>
      <c r="FK569" s="58"/>
      <c r="FL569" s="58"/>
      <c r="FM569" s="58"/>
    </row>
    <row r="570">
      <c r="ET570" s="58"/>
      <c r="EU570" s="58"/>
      <c r="EV570" s="58"/>
      <c r="EW570" s="58"/>
      <c r="EX570" s="58"/>
      <c r="EY570" s="58"/>
      <c r="EZ570" s="58"/>
      <c r="FA570" s="58"/>
      <c r="FB570" s="58"/>
      <c r="FC570" s="58"/>
      <c r="FD570" s="58"/>
      <c r="FE570" s="58"/>
      <c r="FF570" s="58"/>
      <c r="FG570" s="58"/>
      <c r="FH570" s="58"/>
      <c r="FI570" s="58"/>
      <c r="FJ570" s="58"/>
      <c r="FK570" s="58"/>
      <c r="FL570" s="58"/>
      <c r="FM570" s="58"/>
    </row>
    <row r="571">
      <c r="ET571" s="58"/>
      <c r="EU571" s="58"/>
      <c r="EV571" s="58"/>
      <c r="EW571" s="58"/>
      <c r="EX571" s="58"/>
      <c r="EY571" s="58"/>
      <c r="EZ571" s="58"/>
      <c r="FA571" s="58"/>
      <c r="FB571" s="58"/>
      <c r="FC571" s="58"/>
      <c r="FD571" s="58"/>
      <c r="FE571" s="58"/>
      <c r="FF571" s="58"/>
      <c r="FG571" s="58"/>
      <c r="FH571" s="58"/>
      <c r="FI571" s="58"/>
      <c r="FJ571" s="58"/>
      <c r="FK571" s="58"/>
      <c r="FL571" s="58"/>
      <c r="FM571" s="58"/>
    </row>
    <row r="572">
      <c r="ET572" s="58"/>
      <c r="EU572" s="58"/>
      <c r="EV572" s="58"/>
      <c r="EW572" s="58"/>
      <c r="EX572" s="58"/>
      <c r="EY572" s="58"/>
      <c r="EZ572" s="58"/>
      <c r="FA572" s="58"/>
      <c r="FB572" s="58"/>
      <c r="FC572" s="58"/>
      <c r="FD572" s="58"/>
      <c r="FE572" s="58"/>
      <c r="FF572" s="58"/>
      <c r="FG572" s="58"/>
      <c r="FH572" s="58"/>
      <c r="FI572" s="58"/>
      <c r="FJ572" s="58"/>
      <c r="FK572" s="58"/>
      <c r="FL572" s="58"/>
      <c r="FM572" s="58"/>
    </row>
    <row r="573">
      <c r="ET573" s="58"/>
      <c r="EU573" s="58"/>
      <c r="EV573" s="58"/>
      <c r="EW573" s="58"/>
      <c r="EX573" s="58"/>
      <c r="EY573" s="58"/>
      <c r="EZ573" s="58"/>
      <c r="FA573" s="58"/>
      <c r="FB573" s="58"/>
      <c r="FC573" s="58"/>
      <c r="FD573" s="58"/>
      <c r="FE573" s="58"/>
      <c r="FF573" s="58"/>
      <c r="FG573" s="58"/>
      <c r="FH573" s="58"/>
      <c r="FI573" s="58"/>
      <c r="FJ573" s="58"/>
      <c r="FK573" s="58"/>
      <c r="FL573" s="58"/>
      <c r="FM573" s="58"/>
    </row>
    <row r="574">
      <c r="ET574" s="58"/>
      <c r="EU574" s="58"/>
      <c r="EV574" s="58"/>
      <c r="EW574" s="58"/>
      <c r="EX574" s="58"/>
      <c r="EY574" s="58"/>
      <c r="EZ574" s="58"/>
      <c r="FA574" s="58"/>
      <c r="FB574" s="58"/>
      <c r="FC574" s="58"/>
      <c r="FD574" s="58"/>
      <c r="FE574" s="58"/>
      <c r="FF574" s="58"/>
      <c r="FG574" s="58"/>
      <c r="FH574" s="58"/>
      <c r="FI574" s="58"/>
      <c r="FJ574" s="58"/>
      <c r="FK574" s="58"/>
      <c r="FL574" s="58"/>
      <c r="FM574" s="58"/>
    </row>
    <row r="575">
      <c r="ET575" s="58"/>
      <c r="EU575" s="58"/>
      <c r="EV575" s="58"/>
      <c r="EW575" s="58"/>
      <c r="EX575" s="58"/>
      <c r="EY575" s="58"/>
      <c r="EZ575" s="58"/>
      <c r="FA575" s="58"/>
      <c r="FB575" s="58"/>
      <c r="FC575" s="58"/>
      <c r="FD575" s="58"/>
      <c r="FE575" s="58"/>
      <c r="FF575" s="58"/>
      <c r="FG575" s="58"/>
      <c r="FH575" s="58"/>
      <c r="FI575" s="58"/>
      <c r="FJ575" s="58"/>
      <c r="FK575" s="58"/>
      <c r="FL575" s="58"/>
      <c r="FM575" s="58"/>
    </row>
    <row r="576">
      <c r="ET576" s="58"/>
      <c r="EU576" s="58"/>
      <c r="EV576" s="58"/>
      <c r="EW576" s="58"/>
      <c r="EX576" s="58"/>
      <c r="EY576" s="58"/>
      <c r="EZ576" s="58"/>
      <c r="FA576" s="58"/>
      <c r="FB576" s="58"/>
      <c r="FC576" s="58"/>
      <c r="FD576" s="58"/>
      <c r="FE576" s="58"/>
      <c r="FF576" s="58"/>
      <c r="FG576" s="58"/>
      <c r="FH576" s="58"/>
      <c r="FI576" s="58"/>
      <c r="FJ576" s="58"/>
      <c r="FK576" s="58"/>
      <c r="FL576" s="58"/>
      <c r="FM576" s="58"/>
    </row>
    <row r="577">
      <c r="ET577" s="58"/>
      <c r="EU577" s="58"/>
      <c r="EV577" s="58"/>
      <c r="EW577" s="58"/>
      <c r="EX577" s="58"/>
      <c r="EY577" s="58"/>
      <c r="EZ577" s="58"/>
      <c r="FA577" s="58"/>
      <c r="FB577" s="58"/>
      <c r="FC577" s="58"/>
      <c r="FD577" s="58"/>
      <c r="FE577" s="58"/>
      <c r="FF577" s="58"/>
      <c r="FG577" s="58"/>
      <c r="FH577" s="58"/>
      <c r="FI577" s="58"/>
      <c r="FJ577" s="58"/>
      <c r="FK577" s="58"/>
      <c r="FL577" s="58"/>
      <c r="FM577" s="58"/>
    </row>
    <row r="578">
      <c r="ET578" s="58"/>
      <c r="EU578" s="58"/>
      <c r="EV578" s="58"/>
      <c r="EW578" s="58"/>
      <c r="EX578" s="58"/>
      <c r="EY578" s="58"/>
      <c r="EZ578" s="58"/>
      <c r="FA578" s="58"/>
      <c r="FB578" s="58"/>
      <c r="FC578" s="58"/>
      <c r="FD578" s="58"/>
      <c r="FE578" s="58"/>
      <c r="FF578" s="58"/>
      <c r="FG578" s="58"/>
      <c r="FH578" s="58"/>
      <c r="FI578" s="58"/>
      <c r="FJ578" s="58"/>
      <c r="FK578" s="58"/>
      <c r="FL578" s="58"/>
      <c r="FM578" s="58"/>
    </row>
    <row r="579">
      <c r="ET579" s="58"/>
      <c r="EU579" s="58"/>
      <c r="EV579" s="58"/>
      <c r="EW579" s="58"/>
      <c r="EX579" s="58"/>
      <c r="EY579" s="58"/>
      <c r="EZ579" s="58"/>
      <c r="FA579" s="58"/>
      <c r="FB579" s="58"/>
      <c r="FC579" s="58"/>
      <c r="FD579" s="58"/>
      <c r="FE579" s="58"/>
      <c r="FF579" s="58"/>
      <c r="FG579" s="58"/>
      <c r="FH579" s="58"/>
      <c r="FI579" s="58"/>
      <c r="FJ579" s="58"/>
      <c r="FK579" s="58"/>
      <c r="FL579" s="58"/>
      <c r="FM579" s="58"/>
    </row>
    <row r="580">
      <c r="ET580" s="58"/>
      <c r="EU580" s="58"/>
      <c r="EV580" s="58"/>
      <c r="EW580" s="58"/>
      <c r="EX580" s="58"/>
      <c r="EY580" s="58"/>
      <c r="EZ580" s="58"/>
      <c r="FA580" s="58"/>
      <c r="FB580" s="58"/>
      <c r="FC580" s="58"/>
      <c r="FD580" s="58"/>
      <c r="FE580" s="58"/>
      <c r="FF580" s="58"/>
      <c r="FG580" s="58"/>
      <c r="FH580" s="58"/>
      <c r="FI580" s="58"/>
      <c r="FJ580" s="58"/>
      <c r="FK580" s="58"/>
      <c r="FL580" s="58"/>
      <c r="FM580" s="58"/>
    </row>
    <row r="581">
      <c r="ET581" s="58"/>
      <c r="EU581" s="58"/>
      <c r="EV581" s="58"/>
      <c r="EW581" s="58"/>
      <c r="EX581" s="58"/>
      <c r="EY581" s="58"/>
      <c r="EZ581" s="58"/>
      <c r="FA581" s="58"/>
      <c r="FB581" s="58"/>
      <c r="FC581" s="58"/>
      <c r="FD581" s="58"/>
      <c r="FE581" s="58"/>
      <c r="FF581" s="58"/>
      <c r="FG581" s="58"/>
      <c r="FH581" s="58"/>
      <c r="FI581" s="58"/>
      <c r="FJ581" s="58"/>
      <c r="FK581" s="58"/>
      <c r="FL581" s="58"/>
      <c r="FM581" s="58"/>
    </row>
    <row r="582">
      <c r="ET582" s="58"/>
      <c r="EU582" s="58"/>
      <c r="EV582" s="58"/>
      <c r="EW582" s="58"/>
      <c r="EX582" s="58"/>
      <c r="EY582" s="58"/>
      <c r="EZ582" s="58"/>
      <c r="FA582" s="58"/>
      <c r="FB582" s="58"/>
      <c r="FC582" s="58"/>
      <c r="FD582" s="58"/>
      <c r="FE582" s="58"/>
      <c r="FF582" s="58"/>
      <c r="FG582" s="58"/>
      <c r="FH582" s="58"/>
      <c r="FI582" s="58"/>
      <c r="FJ582" s="58"/>
      <c r="FK582" s="58"/>
      <c r="FL582" s="58"/>
      <c r="FM582" s="58"/>
    </row>
    <row r="583">
      <c r="ET583" s="58"/>
      <c r="EU583" s="58"/>
      <c r="EV583" s="58"/>
      <c r="EW583" s="58"/>
      <c r="EX583" s="58"/>
      <c r="EY583" s="58"/>
      <c r="EZ583" s="58"/>
      <c r="FA583" s="58"/>
      <c r="FB583" s="58"/>
      <c r="FC583" s="58"/>
      <c r="FD583" s="58"/>
      <c r="FE583" s="58"/>
      <c r="FF583" s="58"/>
      <c r="FG583" s="58"/>
      <c r="FH583" s="58"/>
      <c r="FI583" s="58"/>
      <c r="FJ583" s="58"/>
      <c r="FK583" s="58"/>
      <c r="FL583" s="58"/>
      <c r="FM583" s="58"/>
    </row>
    <row r="584">
      <c r="ET584" s="58"/>
      <c r="EU584" s="58"/>
      <c r="EV584" s="58"/>
      <c r="EW584" s="58"/>
      <c r="EX584" s="58"/>
      <c r="EY584" s="58"/>
      <c r="EZ584" s="58"/>
      <c r="FA584" s="58"/>
      <c r="FB584" s="58"/>
      <c r="FC584" s="58"/>
      <c r="FD584" s="58"/>
      <c r="FE584" s="58"/>
      <c r="FF584" s="58"/>
      <c r="FG584" s="58"/>
      <c r="FH584" s="58"/>
      <c r="FI584" s="58"/>
      <c r="FJ584" s="58"/>
      <c r="FK584" s="58"/>
      <c r="FL584" s="58"/>
      <c r="FM584" s="58"/>
    </row>
    <row r="585">
      <c r="ET585" s="58"/>
      <c r="EU585" s="58"/>
      <c r="EV585" s="58"/>
      <c r="EW585" s="58"/>
      <c r="EX585" s="58"/>
      <c r="EY585" s="58"/>
      <c r="EZ585" s="58"/>
      <c r="FA585" s="58"/>
      <c r="FB585" s="58"/>
      <c r="FC585" s="58"/>
      <c r="FD585" s="58"/>
      <c r="FE585" s="58"/>
      <c r="FF585" s="58"/>
      <c r="FG585" s="58"/>
      <c r="FH585" s="58"/>
      <c r="FI585" s="58"/>
      <c r="FJ585" s="58"/>
      <c r="FK585" s="58"/>
      <c r="FL585" s="58"/>
      <c r="FM585" s="58"/>
    </row>
    <row r="586">
      <c r="ET586" s="58"/>
      <c r="EU586" s="58"/>
      <c r="EV586" s="58"/>
      <c r="EW586" s="58"/>
      <c r="EX586" s="58"/>
      <c r="EY586" s="58"/>
      <c r="EZ586" s="58"/>
      <c r="FA586" s="58"/>
      <c r="FB586" s="58"/>
      <c r="FC586" s="58"/>
      <c r="FD586" s="58"/>
      <c r="FE586" s="58"/>
      <c r="FF586" s="58"/>
      <c r="FG586" s="58"/>
      <c r="FH586" s="58"/>
      <c r="FI586" s="58"/>
      <c r="FJ586" s="58"/>
      <c r="FK586" s="58"/>
      <c r="FL586" s="58"/>
      <c r="FM586" s="58"/>
    </row>
    <row r="587">
      <c r="ET587" s="58"/>
      <c r="EU587" s="58"/>
      <c r="EV587" s="58"/>
      <c r="EW587" s="58"/>
      <c r="EX587" s="58"/>
      <c r="EY587" s="58"/>
      <c r="EZ587" s="58"/>
      <c r="FA587" s="58"/>
      <c r="FB587" s="58"/>
      <c r="FC587" s="58"/>
      <c r="FD587" s="58"/>
      <c r="FE587" s="58"/>
      <c r="FF587" s="58"/>
      <c r="FG587" s="58"/>
      <c r="FH587" s="58"/>
      <c r="FI587" s="58"/>
      <c r="FJ587" s="58"/>
      <c r="FK587" s="58"/>
      <c r="FL587" s="58"/>
      <c r="FM587" s="58"/>
    </row>
    <row r="588">
      <c r="ET588" s="58"/>
      <c r="EU588" s="58"/>
      <c r="EV588" s="58"/>
      <c r="EW588" s="58"/>
      <c r="EX588" s="58"/>
      <c r="EY588" s="58"/>
      <c r="EZ588" s="58"/>
      <c r="FA588" s="58"/>
      <c r="FB588" s="58"/>
      <c r="FC588" s="58"/>
      <c r="FD588" s="58"/>
      <c r="FE588" s="58"/>
      <c r="FF588" s="58"/>
      <c r="FG588" s="58"/>
      <c r="FH588" s="58"/>
      <c r="FI588" s="58"/>
      <c r="FJ588" s="58"/>
      <c r="FK588" s="58"/>
      <c r="FL588" s="58"/>
      <c r="FM588" s="58"/>
    </row>
    <row r="589">
      <c r="ET589" s="58"/>
      <c r="EU589" s="58"/>
      <c r="EV589" s="58"/>
      <c r="EW589" s="58"/>
      <c r="EX589" s="58"/>
      <c r="EY589" s="58"/>
      <c r="EZ589" s="58"/>
      <c r="FA589" s="58"/>
      <c r="FB589" s="58"/>
      <c r="FC589" s="58"/>
      <c r="FD589" s="58"/>
      <c r="FE589" s="58"/>
      <c r="FF589" s="58"/>
      <c r="FG589" s="58"/>
      <c r="FH589" s="58"/>
      <c r="FI589" s="58"/>
      <c r="FJ589" s="58"/>
      <c r="FK589" s="58"/>
      <c r="FL589" s="58"/>
      <c r="FM589" s="58"/>
    </row>
    <row r="590">
      <c r="ET590" s="58"/>
      <c r="EU590" s="58"/>
      <c r="EV590" s="58"/>
      <c r="EW590" s="58"/>
      <c r="EX590" s="58"/>
      <c r="EY590" s="58"/>
      <c r="EZ590" s="58"/>
      <c r="FA590" s="58"/>
      <c r="FB590" s="58"/>
      <c r="FC590" s="58"/>
      <c r="FD590" s="58"/>
      <c r="FE590" s="58"/>
      <c r="FF590" s="58"/>
      <c r="FG590" s="58"/>
      <c r="FH590" s="58"/>
      <c r="FI590" s="58"/>
      <c r="FJ590" s="58"/>
      <c r="FK590" s="58"/>
      <c r="FL590" s="58"/>
      <c r="FM590" s="58"/>
    </row>
    <row r="591">
      <c r="ET591" s="58"/>
      <c r="EU591" s="58"/>
      <c r="EV591" s="58"/>
      <c r="EW591" s="58"/>
      <c r="EX591" s="58"/>
      <c r="EY591" s="58"/>
      <c r="EZ591" s="58"/>
      <c r="FA591" s="58"/>
      <c r="FB591" s="58"/>
      <c r="FC591" s="58"/>
      <c r="FD591" s="58"/>
      <c r="FE591" s="58"/>
      <c r="FF591" s="58"/>
      <c r="FG591" s="58"/>
      <c r="FH591" s="58"/>
      <c r="FI591" s="58"/>
      <c r="FJ591" s="58"/>
      <c r="FK591" s="58"/>
      <c r="FL591" s="58"/>
      <c r="FM591" s="58"/>
    </row>
    <row r="592">
      <c r="ET592" s="58"/>
      <c r="EU592" s="58"/>
      <c r="EV592" s="58"/>
      <c r="EW592" s="58"/>
      <c r="EX592" s="58"/>
      <c r="EY592" s="58"/>
      <c r="EZ592" s="58"/>
      <c r="FA592" s="58"/>
      <c r="FB592" s="58"/>
      <c r="FC592" s="58"/>
      <c r="FD592" s="58"/>
      <c r="FE592" s="58"/>
      <c r="FF592" s="58"/>
      <c r="FG592" s="58"/>
      <c r="FH592" s="58"/>
      <c r="FI592" s="58"/>
      <c r="FJ592" s="58"/>
      <c r="FK592" s="58"/>
      <c r="FL592" s="58"/>
      <c r="FM592" s="58"/>
    </row>
    <row r="593">
      <c r="ET593" s="58"/>
      <c r="EU593" s="58"/>
      <c r="EV593" s="58"/>
      <c r="EW593" s="58"/>
      <c r="EX593" s="58"/>
      <c r="EY593" s="58"/>
      <c r="EZ593" s="58"/>
      <c r="FA593" s="58"/>
      <c r="FB593" s="58"/>
      <c r="FC593" s="58"/>
      <c r="FD593" s="58"/>
      <c r="FE593" s="58"/>
      <c r="FF593" s="58"/>
      <c r="FG593" s="58"/>
      <c r="FH593" s="58"/>
      <c r="FI593" s="58"/>
      <c r="FJ593" s="58"/>
      <c r="FK593" s="58"/>
      <c r="FL593" s="58"/>
      <c r="FM593" s="58"/>
    </row>
    <row r="594">
      <c r="ET594" s="58"/>
      <c r="EU594" s="58"/>
      <c r="EV594" s="58"/>
      <c r="EW594" s="58"/>
      <c r="EX594" s="58"/>
      <c r="EY594" s="58"/>
      <c r="EZ594" s="58"/>
      <c r="FA594" s="58"/>
      <c r="FB594" s="58"/>
      <c r="FC594" s="58"/>
      <c r="FD594" s="58"/>
      <c r="FE594" s="58"/>
      <c r="FF594" s="58"/>
      <c r="FG594" s="58"/>
      <c r="FH594" s="58"/>
      <c r="FI594" s="58"/>
      <c r="FJ594" s="58"/>
      <c r="FK594" s="58"/>
      <c r="FL594" s="58"/>
      <c r="FM594" s="58"/>
    </row>
    <row r="595">
      <c r="ET595" s="58"/>
      <c r="EU595" s="58"/>
      <c r="EV595" s="58"/>
      <c r="EW595" s="58"/>
      <c r="EX595" s="58"/>
      <c r="EY595" s="58"/>
      <c r="EZ595" s="58"/>
      <c r="FA595" s="58"/>
      <c r="FB595" s="58"/>
      <c r="FC595" s="58"/>
      <c r="FD595" s="58"/>
      <c r="FE595" s="58"/>
      <c r="FF595" s="58"/>
      <c r="FG595" s="58"/>
      <c r="FH595" s="58"/>
      <c r="FI595" s="58"/>
      <c r="FJ595" s="58"/>
      <c r="FK595" s="58"/>
      <c r="FL595" s="58"/>
      <c r="FM595" s="58"/>
    </row>
    <row r="596">
      <c r="ET596" s="58"/>
      <c r="EU596" s="58"/>
      <c r="EV596" s="58"/>
      <c r="EW596" s="58"/>
      <c r="EX596" s="58"/>
      <c r="EY596" s="58"/>
      <c r="EZ596" s="58"/>
      <c r="FA596" s="58"/>
      <c r="FB596" s="58"/>
      <c r="FC596" s="58"/>
      <c r="FD596" s="58"/>
      <c r="FE596" s="58"/>
      <c r="FF596" s="58"/>
      <c r="FG596" s="58"/>
      <c r="FH596" s="58"/>
      <c r="FI596" s="58"/>
      <c r="FJ596" s="58"/>
      <c r="FK596" s="58"/>
      <c r="FL596" s="58"/>
      <c r="FM596" s="58"/>
    </row>
    <row r="597">
      <c r="ET597" s="58"/>
      <c r="EU597" s="58"/>
      <c r="EV597" s="58"/>
      <c r="EW597" s="58"/>
      <c r="EX597" s="58"/>
      <c r="EY597" s="58"/>
      <c r="EZ597" s="58"/>
      <c r="FA597" s="58"/>
      <c r="FB597" s="58"/>
      <c r="FC597" s="58"/>
      <c r="FD597" s="58"/>
      <c r="FE597" s="58"/>
      <c r="FF597" s="58"/>
      <c r="FG597" s="58"/>
      <c r="FH597" s="58"/>
      <c r="FI597" s="58"/>
      <c r="FJ597" s="58"/>
      <c r="FK597" s="58"/>
      <c r="FL597" s="58"/>
      <c r="FM597" s="58"/>
    </row>
    <row r="598">
      <c r="ET598" s="58"/>
      <c r="EU598" s="58"/>
      <c r="EV598" s="58"/>
      <c r="EW598" s="58"/>
      <c r="EX598" s="58"/>
      <c r="EY598" s="58"/>
      <c r="EZ598" s="58"/>
      <c r="FA598" s="58"/>
      <c r="FB598" s="58"/>
      <c r="FC598" s="58"/>
      <c r="FD598" s="58"/>
      <c r="FE598" s="58"/>
      <c r="FF598" s="58"/>
      <c r="FG598" s="58"/>
      <c r="FH598" s="58"/>
      <c r="FI598" s="58"/>
      <c r="FJ598" s="58"/>
      <c r="FK598" s="58"/>
      <c r="FL598" s="58"/>
      <c r="FM598" s="58"/>
    </row>
    <row r="599">
      <c r="ET599" s="58"/>
      <c r="EU599" s="58"/>
      <c r="EV599" s="58"/>
      <c r="EW599" s="58"/>
      <c r="EX599" s="58"/>
      <c r="EY599" s="58"/>
      <c r="EZ599" s="58"/>
      <c r="FA599" s="58"/>
      <c r="FB599" s="58"/>
      <c r="FC599" s="58"/>
      <c r="FD599" s="58"/>
      <c r="FE599" s="58"/>
      <c r="FF599" s="58"/>
      <c r="FG599" s="58"/>
      <c r="FH599" s="58"/>
      <c r="FI599" s="58"/>
      <c r="FJ599" s="58"/>
      <c r="FK599" s="58"/>
      <c r="FL599" s="58"/>
      <c r="FM599" s="58"/>
    </row>
    <row r="600">
      <c r="ET600" s="58"/>
      <c r="EU600" s="58"/>
      <c r="EV600" s="58"/>
      <c r="EW600" s="58"/>
      <c r="EX600" s="58"/>
      <c r="EY600" s="58"/>
      <c r="EZ600" s="58"/>
      <c r="FA600" s="58"/>
      <c r="FB600" s="58"/>
      <c r="FC600" s="58"/>
      <c r="FD600" s="58"/>
      <c r="FE600" s="58"/>
      <c r="FF600" s="58"/>
      <c r="FG600" s="58"/>
      <c r="FH600" s="58"/>
      <c r="FI600" s="58"/>
      <c r="FJ600" s="58"/>
      <c r="FK600" s="58"/>
      <c r="FL600" s="58"/>
      <c r="FM600" s="58"/>
    </row>
    <row r="601">
      <c r="ET601" s="58"/>
      <c r="EU601" s="58"/>
      <c r="EV601" s="58"/>
      <c r="EW601" s="58"/>
      <c r="EX601" s="58"/>
      <c r="EY601" s="58"/>
      <c r="EZ601" s="58"/>
      <c r="FA601" s="58"/>
      <c r="FB601" s="58"/>
      <c r="FC601" s="58"/>
      <c r="FD601" s="58"/>
      <c r="FE601" s="58"/>
      <c r="FF601" s="58"/>
      <c r="FG601" s="58"/>
      <c r="FH601" s="58"/>
      <c r="FI601" s="58"/>
      <c r="FJ601" s="58"/>
      <c r="FK601" s="58"/>
      <c r="FL601" s="58"/>
      <c r="FM601" s="58"/>
    </row>
    <row r="602">
      <c r="ET602" s="58"/>
      <c r="EU602" s="58"/>
      <c r="EV602" s="58"/>
      <c r="EW602" s="58"/>
      <c r="EX602" s="58"/>
      <c r="EY602" s="58"/>
      <c r="EZ602" s="58"/>
      <c r="FA602" s="58"/>
      <c r="FB602" s="58"/>
      <c r="FC602" s="58"/>
      <c r="FD602" s="58"/>
      <c r="FE602" s="58"/>
      <c r="FF602" s="58"/>
      <c r="FG602" s="58"/>
      <c r="FH602" s="58"/>
      <c r="FI602" s="58"/>
      <c r="FJ602" s="58"/>
      <c r="FK602" s="58"/>
      <c r="FL602" s="58"/>
      <c r="FM602" s="58"/>
    </row>
    <row r="603">
      <c r="ET603" s="58"/>
      <c r="EU603" s="58"/>
      <c r="EV603" s="58"/>
      <c r="EW603" s="58"/>
      <c r="EX603" s="58"/>
      <c r="EY603" s="58"/>
      <c r="EZ603" s="58"/>
      <c r="FA603" s="58"/>
      <c r="FB603" s="58"/>
      <c r="FC603" s="58"/>
      <c r="FD603" s="58"/>
      <c r="FE603" s="58"/>
      <c r="FF603" s="58"/>
      <c r="FG603" s="58"/>
      <c r="FH603" s="58"/>
      <c r="FI603" s="58"/>
      <c r="FJ603" s="58"/>
      <c r="FK603" s="58"/>
      <c r="FL603" s="58"/>
      <c r="FM603" s="58"/>
    </row>
    <row r="604">
      <c r="ET604" s="58"/>
      <c r="EU604" s="58"/>
      <c r="EV604" s="58"/>
      <c r="EW604" s="58"/>
      <c r="EX604" s="58"/>
      <c r="EY604" s="58"/>
      <c r="EZ604" s="58"/>
      <c r="FA604" s="58"/>
      <c r="FB604" s="58"/>
      <c r="FC604" s="58"/>
      <c r="FD604" s="58"/>
      <c r="FE604" s="58"/>
      <c r="FF604" s="58"/>
      <c r="FG604" s="58"/>
      <c r="FH604" s="58"/>
      <c r="FI604" s="58"/>
      <c r="FJ604" s="58"/>
      <c r="FK604" s="58"/>
      <c r="FL604" s="58"/>
      <c r="FM604" s="58"/>
    </row>
    <row r="605">
      <c r="ET605" s="58"/>
      <c r="EU605" s="58"/>
      <c r="EV605" s="58"/>
      <c r="EW605" s="58"/>
      <c r="EX605" s="58"/>
      <c r="EY605" s="58"/>
      <c r="EZ605" s="58"/>
      <c r="FA605" s="58"/>
      <c r="FB605" s="58"/>
      <c r="FC605" s="58"/>
      <c r="FD605" s="58"/>
      <c r="FE605" s="58"/>
      <c r="FF605" s="58"/>
      <c r="FG605" s="58"/>
      <c r="FH605" s="58"/>
      <c r="FI605" s="58"/>
      <c r="FJ605" s="58"/>
      <c r="FK605" s="58"/>
      <c r="FL605" s="58"/>
      <c r="FM605" s="58"/>
    </row>
    <row r="606">
      <c r="ET606" s="58"/>
      <c r="EU606" s="58"/>
      <c r="EV606" s="58"/>
      <c r="EW606" s="58"/>
      <c r="EX606" s="58"/>
      <c r="EY606" s="58"/>
      <c r="EZ606" s="58"/>
      <c r="FA606" s="58"/>
      <c r="FB606" s="58"/>
      <c r="FC606" s="58"/>
      <c r="FD606" s="58"/>
      <c r="FE606" s="58"/>
      <c r="FF606" s="58"/>
      <c r="FG606" s="58"/>
      <c r="FH606" s="58"/>
      <c r="FI606" s="58"/>
      <c r="FJ606" s="58"/>
      <c r="FK606" s="58"/>
      <c r="FL606" s="58"/>
      <c r="FM606" s="58"/>
    </row>
    <row r="607">
      <c r="ET607" s="58"/>
      <c r="EU607" s="58"/>
      <c r="EV607" s="58"/>
      <c r="EW607" s="58"/>
      <c r="EX607" s="58"/>
      <c r="EY607" s="58"/>
      <c r="EZ607" s="58"/>
      <c r="FA607" s="58"/>
      <c r="FB607" s="58"/>
      <c r="FC607" s="58"/>
      <c r="FD607" s="58"/>
      <c r="FE607" s="58"/>
      <c r="FF607" s="58"/>
      <c r="FG607" s="58"/>
      <c r="FH607" s="58"/>
      <c r="FI607" s="58"/>
      <c r="FJ607" s="58"/>
      <c r="FK607" s="58"/>
      <c r="FL607" s="58"/>
      <c r="FM607" s="58"/>
    </row>
    <row r="608">
      <c r="ET608" s="58"/>
      <c r="EU608" s="58"/>
      <c r="EV608" s="58"/>
      <c r="EW608" s="58"/>
      <c r="EX608" s="58"/>
      <c r="EY608" s="58"/>
      <c r="EZ608" s="58"/>
      <c r="FA608" s="58"/>
      <c r="FB608" s="58"/>
      <c r="FC608" s="58"/>
      <c r="FD608" s="58"/>
      <c r="FE608" s="58"/>
      <c r="FF608" s="58"/>
      <c r="FG608" s="58"/>
      <c r="FH608" s="58"/>
      <c r="FI608" s="58"/>
      <c r="FJ608" s="58"/>
      <c r="FK608" s="58"/>
      <c r="FL608" s="58"/>
      <c r="FM608" s="58"/>
    </row>
    <row r="609">
      <c r="ET609" s="58"/>
      <c r="EU609" s="58"/>
      <c r="EV609" s="58"/>
      <c r="EW609" s="58"/>
      <c r="EX609" s="58"/>
      <c r="EY609" s="58"/>
      <c r="EZ609" s="58"/>
      <c r="FA609" s="58"/>
      <c r="FB609" s="58"/>
      <c r="FC609" s="58"/>
      <c r="FD609" s="58"/>
      <c r="FE609" s="58"/>
      <c r="FF609" s="58"/>
      <c r="FG609" s="58"/>
      <c r="FH609" s="58"/>
      <c r="FI609" s="58"/>
      <c r="FJ609" s="58"/>
      <c r="FK609" s="58"/>
      <c r="FL609" s="58"/>
      <c r="FM609" s="58"/>
    </row>
    <row r="610">
      <c r="ET610" s="58"/>
      <c r="EU610" s="58"/>
      <c r="EV610" s="58"/>
      <c r="EW610" s="58"/>
      <c r="EX610" s="58"/>
      <c r="EY610" s="58"/>
      <c r="EZ610" s="58"/>
      <c r="FA610" s="58"/>
      <c r="FB610" s="58"/>
      <c r="FC610" s="58"/>
      <c r="FD610" s="58"/>
      <c r="FE610" s="58"/>
      <c r="FF610" s="58"/>
      <c r="FG610" s="58"/>
      <c r="FH610" s="58"/>
      <c r="FI610" s="58"/>
      <c r="FJ610" s="58"/>
      <c r="FK610" s="58"/>
      <c r="FL610" s="58"/>
      <c r="FM610" s="58"/>
    </row>
    <row r="611">
      <c r="ET611" s="58"/>
      <c r="EU611" s="58"/>
      <c r="EV611" s="58"/>
      <c r="EW611" s="58"/>
      <c r="EX611" s="58"/>
      <c r="EY611" s="58"/>
      <c r="EZ611" s="58"/>
      <c r="FA611" s="58"/>
      <c r="FB611" s="58"/>
      <c r="FC611" s="58"/>
      <c r="FD611" s="58"/>
      <c r="FE611" s="58"/>
      <c r="FF611" s="58"/>
      <c r="FG611" s="58"/>
      <c r="FH611" s="58"/>
      <c r="FI611" s="58"/>
      <c r="FJ611" s="58"/>
      <c r="FK611" s="58"/>
      <c r="FL611" s="58"/>
      <c r="FM611" s="58"/>
    </row>
    <row r="612">
      <c r="ET612" s="58"/>
      <c r="EU612" s="58"/>
      <c r="EV612" s="58"/>
      <c r="EW612" s="58"/>
      <c r="EX612" s="58"/>
      <c r="EY612" s="58"/>
      <c r="EZ612" s="58"/>
      <c r="FA612" s="58"/>
      <c r="FB612" s="58"/>
      <c r="FC612" s="58"/>
      <c r="FD612" s="58"/>
      <c r="FE612" s="58"/>
      <c r="FF612" s="58"/>
      <c r="FG612" s="58"/>
      <c r="FH612" s="58"/>
      <c r="FI612" s="58"/>
      <c r="FJ612" s="58"/>
      <c r="FK612" s="58"/>
      <c r="FL612" s="58"/>
      <c r="FM612" s="58"/>
    </row>
    <row r="613">
      <c r="ET613" s="58"/>
      <c r="EU613" s="58"/>
      <c r="EV613" s="58"/>
      <c r="EW613" s="58"/>
      <c r="EX613" s="58"/>
      <c r="EY613" s="58"/>
      <c r="EZ613" s="58"/>
      <c r="FA613" s="58"/>
      <c r="FB613" s="58"/>
      <c r="FC613" s="58"/>
      <c r="FD613" s="58"/>
      <c r="FE613" s="58"/>
      <c r="FF613" s="58"/>
      <c r="FG613" s="58"/>
      <c r="FH613" s="58"/>
      <c r="FI613" s="58"/>
      <c r="FJ613" s="58"/>
      <c r="FK613" s="58"/>
      <c r="FL613" s="58"/>
      <c r="FM613" s="58"/>
    </row>
    <row r="614">
      <c r="ET614" s="58"/>
      <c r="EU614" s="58"/>
      <c r="EV614" s="58"/>
      <c r="EW614" s="58"/>
      <c r="EX614" s="58"/>
      <c r="EY614" s="58"/>
      <c r="EZ614" s="58"/>
      <c r="FA614" s="58"/>
      <c r="FB614" s="58"/>
      <c r="FC614" s="58"/>
      <c r="FD614" s="58"/>
      <c r="FE614" s="58"/>
      <c r="FF614" s="58"/>
      <c r="FG614" s="58"/>
      <c r="FH614" s="58"/>
      <c r="FI614" s="58"/>
      <c r="FJ614" s="58"/>
      <c r="FK614" s="58"/>
      <c r="FL614" s="58"/>
      <c r="FM614" s="58"/>
    </row>
    <row r="615">
      <c r="ET615" s="58"/>
      <c r="EU615" s="58"/>
      <c r="EV615" s="58"/>
      <c r="EW615" s="58"/>
      <c r="EX615" s="58"/>
      <c r="EY615" s="58"/>
      <c r="EZ615" s="58"/>
      <c r="FA615" s="58"/>
      <c r="FB615" s="58"/>
      <c r="FC615" s="58"/>
      <c r="FD615" s="58"/>
      <c r="FE615" s="58"/>
      <c r="FF615" s="58"/>
      <c r="FG615" s="58"/>
      <c r="FH615" s="58"/>
      <c r="FI615" s="58"/>
      <c r="FJ615" s="58"/>
      <c r="FK615" s="58"/>
      <c r="FL615" s="58"/>
      <c r="FM615" s="58"/>
    </row>
    <row r="616">
      <c r="ET616" s="58"/>
      <c r="EU616" s="58"/>
      <c r="EV616" s="58"/>
      <c r="EW616" s="58"/>
      <c r="EX616" s="58"/>
      <c r="EY616" s="58"/>
      <c r="EZ616" s="58"/>
      <c r="FA616" s="58"/>
      <c r="FB616" s="58"/>
      <c r="FC616" s="58"/>
      <c r="FD616" s="58"/>
      <c r="FE616" s="58"/>
      <c r="FF616" s="58"/>
      <c r="FG616" s="58"/>
      <c r="FH616" s="58"/>
      <c r="FI616" s="58"/>
      <c r="FJ616" s="58"/>
      <c r="FK616" s="58"/>
      <c r="FL616" s="58"/>
      <c r="FM616" s="58"/>
    </row>
    <row r="617">
      <c r="ET617" s="58"/>
      <c r="EU617" s="58"/>
      <c r="EV617" s="58"/>
      <c r="EW617" s="58"/>
      <c r="EX617" s="58"/>
      <c r="EY617" s="58"/>
      <c r="EZ617" s="58"/>
      <c r="FA617" s="58"/>
      <c r="FB617" s="58"/>
      <c r="FC617" s="58"/>
      <c r="FD617" s="58"/>
      <c r="FE617" s="58"/>
      <c r="FF617" s="58"/>
      <c r="FG617" s="58"/>
      <c r="FH617" s="58"/>
      <c r="FI617" s="58"/>
      <c r="FJ617" s="58"/>
      <c r="FK617" s="58"/>
      <c r="FL617" s="58"/>
      <c r="FM617" s="58"/>
    </row>
    <row r="618">
      <c r="ET618" s="58"/>
      <c r="EU618" s="58"/>
      <c r="EV618" s="58"/>
      <c r="EW618" s="58"/>
      <c r="EX618" s="58"/>
      <c r="EY618" s="58"/>
      <c r="EZ618" s="58"/>
      <c r="FA618" s="58"/>
      <c r="FB618" s="58"/>
      <c r="FC618" s="58"/>
      <c r="FD618" s="58"/>
      <c r="FE618" s="58"/>
      <c r="FF618" s="58"/>
      <c r="FG618" s="58"/>
      <c r="FH618" s="58"/>
      <c r="FI618" s="58"/>
      <c r="FJ618" s="58"/>
      <c r="FK618" s="58"/>
      <c r="FL618" s="58"/>
      <c r="FM618" s="58"/>
    </row>
    <row r="619">
      <c r="ET619" s="58"/>
      <c r="EU619" s="58"/>
      <c r="EV619" s="58"/>
      <c r="EW619" s="58"/>
      <c r="EX619" s="58"/>
      <c r="EY619" s="58"/>
      <c r="EZ619" s="58"/>
      <c r="FA619" s="58"/>
      <c r="FB619" s="58"/>
      <c r="FC619" s="58"/>
      <c r="FD619" s="58"/>
      <c r="FE619" s="58"/>
      <c r="FF619" s="58"/>
      <c r="FG619" s="58"/>
      <c r="FH619" s="58"/>
      <c r="FI619" s="58"/>
      <c r="FJ619" s="58"/>
      <c r="FK619" s="58"/>
      <c r="FL619" s="58"/>
      <c r="FM619" s="58"/>
    </row>
    <row r="620">
      <c r="ET620" s="58"/>
      <c r="EU620" s="58"/>
      <c r="EV620" s="58"/>
      <c r="EW620" s="58"/>
      <c r="EX620" s="58"/>
      <c r="EY620" s="58"/>
      <c r="EZ620" s="58"/>
      <c r="FA620" s="58"/>
      <c r="FB620" s="58"/>
      <c r="FC620" s="58"/>
      <c r="FD620" s="58"/>
      <c r="FE620" s="58"/>
      <c r="FF620" s="58"/>
      <c r="FG620" s="58"/>
      <c r="FH620" s="58"/>
      <c r="FI620" s="58"/>
      <c r="FJ620" s="58"/>
      <c r="FK620" s="58"/>
      <c r="FL620" s="58"/>
      <c r="FM620" s="58"/>
    </row>
    <row r="621">
      <c r="ET621" s="58"/>
      <c r="EU621" s="58"/>
      <c r="EV621" s="58"/>
      <c r="EW621" s="58"/>
      <c r="EX621" s="58"/>
      <c r="EY621" s="58"/>
      <c r="EZ621" s="58"/>
      <c r="FA621" s="58"/>
      <c r="FB621" s="58"/>
      <c r="FC621" s="58"/>
      <c r="FD621" s="58"/>
      <c r="FE621" s="58"/>
      <c r="FF621" s="58"/>
      <c r="FG621" s="58"/>
      <c r="FH621" s="58"/>
      <c r="FI621" s="58"/>
      <c r="FJ621" s="58"/>
      <c r="FK621" s="58"/>
      <c r="FL621" s="58"/>
      <c r="FM621" s="58"/>
    </row>
    <row r="622">
      <c r="ET622" s="58"/>
      <c r="EU622" s="58"/>
      <c r="EV622" s="58"/>
      <c r="EW622" s="58"/>
      <c r="EX622" s="58"/>
      <c r="EY622" s="58"/>
      <c r="EZ622" s="58"/>
      <c r="FA622" s="58"/>
      <c r="FB622" s="58"/>
      <c r="FC622" s="58"/>
      <c r="FD622" s="58"/>
      <c r="FE622" s="58"/>
      <c r="FF622" s="58"/>
      <c r="FG622" s="58"/>
      <c r="FH622" s="58"/>
      <c r="FI622" s="58"/>
      <c r="FJ622" s="58"/>
      <c r="FK622" s="58"/>
      <c r="FL622" s="58"/>
      <c r="FM622" s="58"/>
    </row>
    <row r="623">
      <c r="ET623" s="58"/>
      <c r="EU623" s="58"/>
      <c r="EV623" s="58"/>
      <c r="EW623" s="58"/>
      <c r="EX623" s="58"/>
      <c r="EY623" s="58"/>
      <c r="EZ623" s="58"/>
      <c r="FA623" s="58"/>
      <c r="FB623" s="58"/>
      <c r="FC623" s="58"/>
      <c r="FD623" s="58"/>
      <c r="FE623" s="58"/>
      <c r="FF623" s="58"/>
      <c r="FG623" s="58"/>
      <c r="FH623" s="58"/>
      <c r="FI623" s="58"/>
      <c r="FJ623" s="58"/>
      <c r="FK623" s="58"/>
      <c r="FL623" s="58"/>
      <c r="FM623" s="58"/>
    </row>
    <row r="624">
      <c r="ET624" s="58"/>
      <c r="EU624" s="58"/>
      <c r="EV624" s="58"/>
      <c r="EW624" s="58"/>
      <c r="EX624" s="58"/>
      <c r="EY624" s="58"/>
      <c r="EZ624" s="58"/>
      <c r="FA624" s="58"/>
      <c r="FB624" s="58"/>
      <c r="FC624" s="58"/>
      <c r="FD624" s="58"/>
      <c r="FE624" s="58"/>
      <c r="FF624" s="58"/>
      <c r="FG624" s="58"/>
      <c r="FH624" s="58"/>
      <c r="FI624" s="58"/>
      <c r="FJ624" s="58"/>
      <c r="FK624" s="58"/>
      <c r="FL624" s="58"/>
      <c r="FM624" s="58"/>
    </row>
    <row r="625">
      <c r="ET625" s="58"/>
      <c r="EU625" s="58"/>
      <c r="EV625" s="58"/>
      <c r="EW625" s="58"/>
      <c r="EX625" s="58"/>
      <c r="EY625" s="58"/>
      <c r="EZ625" s="58"/>
      <c r="FA625" s="58"/>
      <c r="FB625" s="58"/>
      <c r="FC625" s="58"/>
      <c r="FD625" s="58"/>
      <c r="FE625" s="58"/>
      <c r="FF625" s="58"/>
      <c r="FG625" s="58"/>
      <c r="FH625" s="58"/>
      <c r="FI625" s="58"/>
      <c r="FJ625" s="58"/>
      <c r="FK625" s="58"/>
      <c r="FL625" s="58"/>
      <c r="FM625" s="58"/>
    </row>
    <row r="626">
      <c r="ET626" s="58"/>
      <c r="EU626" s="58"/>
      <c r="EV626" s="58"/>
      <c r="EW626" s="58"/>
      <c r="EX626" s="58"/>
      <c r="EY626" s="58"/>
      <c r="EZ626" s="58"/>
      <c r="FA626" s="58"/>
      <c r="FB626" s="58"/>
      <c r="FC626" s="58"/>
      <c r="FD626" s="58"/>
      <c r="FE626" s="58"/>
      <c r="FF626" s="58"/>
      <c r="FG626" s="58"/>
      <c r="FH626" s="58"/>
      <c r="FI626" s="58"/>
      <c r="FJ626" s="58"/>
      <c r="FK626" s="58"/>
      <c r="FL626" s="58"/>
      <c r="FM626" s="58"/>
    </row>
    <row r="627">
      <c r="ET627" s="58"/>
      <c r="EU627" s="58"/>
      <c r="EV627" s="58"/>
      <c r="EW627" s="58"/>
      <c r="EX627" s="58"/>
      <c r="EY627" s="58"/>
      <c r="EZ627" s="58"/>
      <c r="FA627" s="58"/>
      <c r="FB627" s="58"/>
      <c r="FC627" s="58"/>
      <c r="FD627" s="58"/>
      <c r="FE627" s="58"/>
      <c r="FF627" s="58"/>
      <c r="FG627" s="58"/>
      <c r="FH627" s="58"/>
      <c r="FI627" s="58"/>
      <c r="FJ627" s="58"/>
      <c r="FK627" s="58"/>
      <c r="FL627" s="58"/>
      <c r="FM627" s="58"/>
    </row>
    <row r="628">
      <c r="ET628" s="58"/>
      <c r="EU628" s="58"/>
      <c r="EV628" s="58"/>
      <c r="EW628" s="58"/>
      <c r="EX628" s="58"/>
      <c r="EY628" s="58"/>
      <c r="EZ628" s="58"/>
      <c r="FA628" s="58"/>
      <c r="FB628" s="58"/>
      <c r="FC628" s="58"/>
      <c r="FD628" s="58"/>
      <c r="FE628" s="58"/>
      <c r="FF628" s="58"/>
      <c r="FG628" s="58"/>
      <c r="FH628" s="58"/>
      <c r="FI628" s="58"/>
      <c r="FJ628" s="58"/>
      <c r="FK628" s="58"/>
      <c r="FL628" s="58"/>
      <c r="FM628" s="58"/>
    </row>
    <row r="629">
      <c r="ET629" s="58"/>
      <c r="EU629" s="58"/>
      <c r="EV629" s="58"/>
      <c r="EW629" s="58"/>
      <c r="EX629" s="58"/>
      <c r="EY629" s="58"/>
      <c r="EZ629" s="58"/>
      <c r="FA629" s="58"/>
      <c r="FB629" s="58"/>
      <c r="FC629" s="58"/>
      <c r="FD629" s="58"/>
      <c r="FE629" s="58"/>
      <c r="FF629" s="58"/>
      <c r="FG629" s="58"/>
      <c r="FH629" s="58"/>
      <c r="FI629" s="58"/>
      <c r="FJ629" s="58"/>
      <c r="FK629" s="58"/>
      <c r="FL629" s="58"/>
      <c r="FM629" s="58"/>
    </row>
    <row r="630">
      <c r="ET630" s="58"/>
      <c r="EU630" s="58"/>
      <c r="EV630" s="58"/>
      <c r="EW630" s="58"/>
      <c r="EX630" s="58"/>
      <c r="EY630" s="58"/>
      <c r="EZ630" s="58"/>
      <c r="FA630" s="58"/>
      <c r="FB630" s="58"/>
      <c r="FC630" s="58"/>
      <c r="FD630" s="58"/>
      <c r="FE630" s="58"/>
      <c r="FF630" s="58"/>
      <c r="FG630" s="58"/>
      <c r="FH630" s="58"/>
      <c r="FI630" s="58"/>
      <c r="FJ630" s="58"/>
      <c r="FK630" s="58"/>
      <c r="FL630" s="58"/>
      <c r="FM630" s="58"/>
    </row>
    <row r="631">
      <c r="ET631" s="58"/>
      <c r="EU631" s="58"/>
      <c r="EV631" s="58"/>
      <c r="EW631" s="58"/>
      <c r="EX631" s="58"/>
      <c r="EY631" s="58"/>
      <c r="EZ631" s="58"/>
      <c r="FA631" s="58"/>
      <c r="FB631" s="58"/>
      <c r="FC631" s="58"/>
      <c r="FD631" s="58"/>
      <c r="FE631" s="58"/>
      <c r="FF631" s="58"/>
      <c r="FG631" s="58"/>
      <c r="FH631" s="58"/>
      <c r="FI631" s="58"/>
      <c r="FJ631" s="58"/>
      <c r="FK631" s="58"/>
      <c r="FL631" s="58"/>
      <c r="FM631" s="58"/>
    </row>
    <row r="632">
      <c r="ET632" s="58"/>
      <c r="EU632" s="58"/>
      <c r="EV632" s="58"/>
      <c r="EW632" s="58"/>
      <c r="EX632" s="58"/>
      <c r="EY632" s="58"/>
      <c r="EZ632" s="58"/>
      <c r="FA632" s="58"/>
      <c r="FB632" s="58"/>
      <c r="FC632" s="58"/>
      <c r="FD632" s="58"/>
      <c r="FE632" s="58"/>
      <c r="FF632" s="58"/>
      <c r="FG632" s="58"/>
      <c r="FH632" s="58"/>
      <c r="FI632" s="58"/>
      <c r="FJ632" s="58"/>
      <c r="FK632" s="58"/>
      <c r="FL632" s="58"/>
      <c r="FM632" s="58"/>
    </row>
    <row r="633">
      <c r="ET633" s="58"/>
      <c r="EU633" s="58"/>
      <c r="EV633" s="58"/>
      <c r="EW633" s="58"/>
      <c r="EX633" s="58"/>
      <c r="EY633" s="58"/>
      <c r="EZ633" s="58"/>
      <c r="FA633" s="58"/>
      <c r="FB633" s="58"/>
      <c r="FC633" s="58"/>
      <c r="FD633" s="58"/>
      <c r="FE633" s="58"/>
      <c r="FF633" s="58"/>
      <c r="FG633" s="58"/>
      <c r="FH633" s="58"/>
      <c r="FI633" s="58"/>
      <c r="FJ633" s="58"/>
      <c r="FK633" s="58"/>
      <c r="FL633" s="58"/>
      <c r="FM633" s="58"/>
    </row>
    <row r="634">
      <c r="ET634" s="58"/>
      <c r="EU634" s="58"/>
      <c r="EV634" s="58"/>
      <c r="EW634" s="58"/>
      <c r="EX634" s="58"/>
      <c r="EY634" s="58"/>
      <c r="EZ634" s="58"/>
      <c r="FA634" s="58"/>
      <c r="FB634" s="58"/>
      <c r="FC634" s="58"/>
      <c r="FD634" s="58"/>
      <c r="FE634" s="58"/>
      <c r="FF634" s="58"/>
      <c r="FG634" s="58"/>
      <c r="FH634" s="58"/>
      <c r="FI634" s="58"/>
      <c r="FJ634" s="58"/>
      <c r="FK634" s="58"/>
      <c r="FL634" s="58"/>
      <c r="FM634" s="58"/>
    </row>
    <row r="635">
      <c r="ET635" s="58"/>
      <c r="EU635" s="58"/>
      <c r="EV635" s="58"/>
      <c r="EW635" s="58"/>
      <c r="EX635" s="58"/>
      <c r="EY635" s="58"/>
      <c r="EZ635" s="58"/>
      <c r="FA635" s="58"/>
      <c r="FB635" s="58"/>
      <c r="FC635" s="58"/>
      <c r="FD635" s="58"/>
      <c r="FE635" s="58"/>
      <c r="FF635" s="58"/>
      <c r="FG635" s="58"/>
      <c r="FH635" s="58"/>
      <c r="FI635" s="58"/>
      <c r="FJ635" s="58"/>
      <c r="FK635" s="58"/>
      <c r="FL635" s="58"/>
      <c r="FM635" s="58"/>
    </row>
    <row r="636">
      <c r="ET636" s="58"/>
      <c r="EU636" s="58"/>
      <c r="EV636" s="58"/>
      <c r="EW636" s="58"/>
      <c r="EX636" s="58"/>
      <c r="EY636" s="58"/>
      <c r="EZ636" s="58"/>
      <c r="FA636" s="58"/>
      <c r="FB636" s="58"/>
      <c r="FC636" s="58"/>
      <c r="FD636" s="58"/>
      <c r="FE636" s="58"/>
      <c r="FF636" s="58"/>
      <c r="FG636" s="58"/>
      <c r="FH636" s="58"/>
      <c r="FI636" s="58"/>
      <c r="FJ636" s="58"/>
      <c r="FK636" s="58"/>
      <c r="FL636" s="58"/>
      <c r="FM636" s="58"/>
    </row>
    <row r="637">
      <c r="ET637" s="58"/>
      <c r="EU637" s="58"/>
      <c r="EV637" s="58"/>
      <c r="EW637" s="58"/>
      <c r="EX637" s="58"/>
      <c r="EY637" s="58"/>
      <c r="EZ637" s="58"/>
      <c r="FA637" s="58"/>
      <c r="FB637" s="58"/>
      <c r="FC637" s="58"/>
      <c r="FD637" s="58"/>
      <c r="FE637" s="58"/>
      <c r="FF637" s="58"/>
      <c r="FG637" s="58"/>
      <c r="FH637" s="58"/>
      <c r="FI637" s="58"/>
      <c r="FJ637" s="58"/>
      <c r="FK637" s="58"/>
      <c r="FL637" s="58"/>
      <c r="FM637" s="58"/>
    </row>
    <row r="638">
      <c r="ET638" s="58"/>
      <c r="EU638" s="58"/>
      <c r="EV638" s="58"/>
      <c r="EW638" s="58"/>
      <c r="EX638" s="58"/>
      <c r="EY638" s="58"/>
      <c r="EZ638" s="58"/>
      <c r="FA638" s="58"/>
      <c r="FB638" s="58"/>
      <c r="FC638" s="58"/>
      <c r="FD638" s="58"/>
      <c r="FE638" s="58"/>
      <c r="FF638" s="58"/>
      <c r="FG638" s="58"/>
      <c r="FH638" s="58"/>
      <c r="FI638" s="58"/>
      <c r="FJ638" s="58"/>
      <c r="FK638" s="58"/>
      <c r="FL638" s="58"/>
      <c r="FM638" s="58"/>
    </row>
    <row r="639">
      <c r="ET639" s="58"/>
      <c r="EU639" s="58"/>
      <c r="EV639" s="58"/>
      <c r="EW639" s="58"/>
      <c r="EX639" s="58"/>
      <c r="EY639" s="58"/>
      <c r="EZ639" s="58"/>
      <c r="FA639" s="58"/>
      <c r="FB639" s="58"/>
      <c r="FC639" s="58"/>
      <c r="FD639" s="58"/>
      <c r="FE639" s="58"/>
      <c r="FF639" s="58"/>
      <c r="FG639" s="58"/>
      <c r="FH639" s="58"/>
      <c r="FI639" s="58"/>
      <c r="FJ639" s="58"/>
      <c r="FK639" s="58"/>
      <c r="FL639" s="58"/>
      <c r="FM639" s="58"/>
    </row>
    <row r="640">
      <c r="ET640" s="58"/>
      <c r="EU640" s="58"/>
      <c r="EV640" s="58"/>
      <c r="EW640" s="58"/>
      <c r="EX640" s="58"/>
      <c r="EY640" s="58"/>
      <c r="EZ640" s="58"/>
      <c r="FA640" s="58"/>
      <c r="FB640" s="58"/>
      <c r="FC640" s="58"/>
      <c r="FD640" s="58"/>
      <c r="FE640" s="58"/>
      <c r="FF640" s="58"/>
      <c r="FG640" s="58"/>
      <c r="FH640" s="58"/>
      <c r="FI640" s="58"/>
      <c r="FJ640" s="58"/>
      <c r="FK640" s="58"/>
      <c r="FL640" s="58"/>
      <c r="FM640" s="58"/>
    </row>
    <row r="641">
      <c r="ET641" s="58"/>
      <c r="EU641" s="58"/>
      <c r="EV641" s="58"/>
      <c r="EW641" s="58"/>
      <c r="EX641" s="58"/>
      <c r="EY641" s="58"/>
      <c r="EZ641" s="58"/>
      <c r="FA641" s="58"/>
      <c r="FB641" s="58"/>
      <c r="FC641" s="58"/>
      <c r="FD641" s="58"/>
      <c r="FE641" s="58"/>
      <c r="FF641" s="58"/>
      <c r="FG641" s="58"/>
      <c r="FH641" s="58"/>
      <c r="FI641" s="58"/>
      <c r="FJ641" s="58"/>
      <c r="FK641" s="58"/>
      <c r="FL641" s="58"/>
      <c r="FM641" s="58"/>
    </row>
    <row r="642">
      <c r="ET642" s="58"/>
      <c r="EU642" s="58"/>
      <c r="EV642" s="58"/>
      <c r="EW642" s="58"/>
      <c r="EX642" s="58"/>
      <c r="EY642" s="58"/>
      <c r="EZ642" s="58"/>
      <c r="FA642" s="58"/>
      <c r="FB642" s="58"/>
      <c r="FC642" s="58"/>
      <c r="FD642" s="58"/>
      <c r="FE642" s="58"/>
      <c r="FF642" s="58"/>
      <c r="FG642" s="58"/>
      <c r="FH642" s="58"/>
      <c r="FI642" s="58"/>
      <c r="FJ642" s="58"/>
      <c r="FK642" s="58"/>
      <c r="FL642" s="58"/>
      <c r="FM642" s="58"/>
    </row>
    <row r="643">
      <c r="ET643" s="58"/>
      <c r="EU643" s="58"/>
      <c r="EV643" s="58"/>
      <c r="EW643" s="58"/>
      <c r="EX643" s="58"/>
      <c r="EY643" s="58"/>
      <c r="EZ643" s="58"/>
      <c r="FA643" s="58"/>
      <c r="FB643" s="58"/>
      <c r="FC643" s="58"/>
      <c r="FD643" s="58"/>
      <c r="FE643" s="58"/>
      <c r="FF643" s="58"/>
      <c r="FG643" s="58"/>
      <c r="FH643" s="58"/>
      <c r="FI643" s="58"/>
      <c r="FJ643" s="58"/>
      <c r="FK643" s="58"/>
      <c r="FL643" s="58"/>
      <c r="FM643" s="58"/>
    </row>
    <row r="644">
      <c r="ET644" s="58"/>
      <c r="EU644" s="58"/>
      <c r="EV644" s="58"/>
      <c r="EW644" s="58"/>
      <c r="EX644" s="58"/>
      <c r="EY644" s="58"/>
      <c r="EZ644" s="58"/>
      <c r="FA644" s="58"/>
      <c r="FB644" s="58"/>
      <c r="FC644" s="58"/>
      <c r="FD644" s="58"/>
      <c r="FE644" s="58"/>
      <c r="FF644" s="58"/>
      <c r="FG644" s="58"/>
      <c r="FH644" s="58"/>
      <c r="FI644" s="58"/>
      <c r="FJ644" s="58"/>
      <c r="FK644" s="58"/>
      <c r="FL644" s="58"/>
      <c r="FM644" s="58"/>
    </row>
    <row r="645">
      <c r="ET645" s="58"/>
      <c r="EU645" s="58"/>
      <c r="EV645" s="58"/>
      <c r="EW645" s="58"/>
      <c r="EX645" s="58"/>
      <c r="EY645" s="58"/>
      <c r="EZ645" s="58"/>
      <c r="FA645" s="58"/>
      <c r="FB645" s="58"/>
      <c r="FC645" s="58"/>
      <c r="FD645" s="58"/>
      <c r="FE645" s="58"/>
      <c r="FF645" s="58"/>
      <c r="FG645" s="58"/>
      <c r="FH645" s="58"/>
      <c r="FI645" s="58"/>
      <c r="FJ645" s="58"/>
      <c r="FK645" s="58"/>
      <c r="FL645" s="58"/>
      <c r="FM645" s="58"/>
    </row>
    <row r="646">
      <c r="ET646" s="58"/>
      <c r="EU646" s="58"/>
      <c r="EV646" s="58"/>
      <c r="EW646" s="58"/>
      <c r="EX646" s="58"/>
      <c r="EY646" s="58"/>
      <c r="EZ646" s="58"/>
      <c r="FA646" s="58"/>
      <c r="FB646" s="58"/>
      <c r="FC646" s="58"/>
      <c r="FD646" s="58"/>
      <c r="FE646" s="58"/>
      <c r="FF646" s="58"/>
      <c r="FG646" s="58"/>
      <c r="FH646" s="58"/>
      <c r="FI646" s="58"/>
      <c r="FJ646" s="58"/>
      <c r="FK646" s="58"/>
      <c r="FL646" s="58"/>
      <c r="FM646" s="58"/>
    </row>
    <row r="647">
      <c r="ET647" s="58"/>
      <c r="EU647" s="58"/>
      <c r="EV647" s="58"/>
      <c r="EW647" s="58"/>
      <c r="EX647" s="58"/>
      <c r="EY647" s="58"/>
      <c r="EZ647" s="58"/>
      <c r="FA647" s="58"/>
      <c r="FB647" s="58"/>
      <c r="FC647" s="58"/>
      <c r="FD647" s="58"/>
      <c r="FE647" s="58"/>
      <c r="FF647" s="58"/>
      <c r="FG647" s="58"/>
      <c r="FH647" s="58"/>
      <c r="FI647" s="58"/>
      <c r="FJ647" s="58"/>
      <c r="FK647" s="58"/>
      <c r="FL647" s="58"/>
      <c r="FM647" s="58"/>
    </row>
    <row r="648">
      <c r="ET648" s="58"/>
      <c r="EU648" s="58"/>
      <c r="EV648" s="58"/>
      <c r="EW648" s="58"/>
      <c r="EX648" s="58"/>
      <c r="EY648" s="58"/>
      <c r="EZ648" s="58"/>
      <c r="FA648" s="58"/>
      <c r="FB648" s="58"/>
      <c r="FC648" s="58"/>
      <c r="FD648" s="58"/>
      <c r="FE648" s="58"/>
      <c r="FF648" s="58"/>
      <c r="FG648" s="58"/>
      <c r="FH648" s="58"/>
      <c r="FI648" s="58"/>
      <c r="FJ648" s="58"/>
      <c r="FK648" s="58"/>
      <c r="FL648" s="58"/>
      <c r="FM648" s="58"/>
    </row>
    <row r="649">
      <c r="ET649" s="58"/>
      <c r="EU649" s="58"/>
      <c r="EV649" s="58"/>
      <c r="EW649" s="58"/>
      <c r="EX649" s="58"/>
      <c r="EY649" s="58"/>
      <c r="EZ649" s="58"/>
      <c r="FA649" s="58"/>
      <c r="FB649" s="58"/>
      <c r="FC649" s="58"/>
      <c r="FD649" s="58"/>
      <c r="FE649" s="58"/>
      <c r="FF649" s="58"/>
      <c r="FG649" s="58"/>
      <c r="FH649" s="58"/>
      <c r="FI649" s="58"/>
      <c r="FJ649" s="58"/>
      <c r="FK649" s="58"/>
      <c r="FL649" s="58"/>
      <c r="FM649" s="58"/>
    </row>
    <row r="650">
      <c r="ET650" s="58"/>
      <c r="EU650" s="58"/>
      <c r="EV650" s="58"/>
      <c r="EW650" s="58"/>
      <c r="EX650" s="58"/>
      <c r="EY650" s="58"/>
      <c r="EZ650" s="58"/>
      <c r="FA650" s="58"/>
      <c r="FB650" s="58"/>
      <c r="FC650" s="58"/>
      <c r="FD650" s="58"/>
      <c r="FE650" s="58"/>
      <c r="FF650" s="58"/>
      <c r="FG650" s="58"/>
      <c r="FH650" s="58"/>
      <c r="FI650" s="58"/>
      <c r="FJ650" s="58"/>
      <c r="FK650" s="58"/>
      <c r="FL650" s="58"/>
      <c r="FM650" s="58"/>
    </row>
    <row r="651">
      <c r="ET651" s="58"/>
      <c r="EU651" s="58"/>
      <c r="EV651" s="58"/>
      <c r="EW651" s="58"/>
      <c r="EX651" s="58"/>
      <c r="EY651" s="58"/>
      <c r="EZ651" s="58"/>
      <c r="FA651" s="58"/>
      <c r="FB651" s="58"/>
      <c r="FC651" s="58"/>
      <c r="FD651" s="58"/>
      <c r="FE651" s="58"/>
      <c r="FF651" s="58"/>
      <c r="FG651" s="58"/>
      <c r="FH651" s="58"/>
      <c r="FI651" s="58"/>
      <c r="FJ651" s="58"/>
      <c r="FK651" s="58"/>
      <c r="FL651" s="58"/>
      <c r="FM651" s="58"/>
    </row>
    <row r="652">
      <c r="ET652" s="58"/>
      <c r="EU652" s="58"/>
      <c r="EV652" s="58"/>
      <c r="EW652" s="58"/>
      <c r="EX652" s="58"/>
      <c r="EY652" s="58"/>
      <c r="EZ652" s="58"/>
      <c r="FA652" s="58"/>
      <c r="FB652" s="58"/>
      <c r="FC652" s="58"/>
      <c r="FD652" s="58"/>
      <c r="FE652" s="58"/>
      <c r="FF652" s="58"/>
      <c r="FG652" s="58"/>
      <c r="FH652" s="58"/>
      <c r="FI652" s="58"/>
      <c r="FJ652" s="58"/>
      <c r="FK652" s="58"/>
      <c r="FL652" s="58"/>
      <c r="FM652" s="58"/>
    </row>
    <row r="653">
      <c r="ET653" s="58"/>
      <c r="EU653" s="58"/>
      <c r="EV653" s="58"/>
      <c r="EW653" s="58"/>
      <c r="EX653" s="58"/>
      <c r="EY653" s="58"/>
      <c r="EZ653" s="58"/>
      <c r="FA653" s="58"/>
      <c r="FB653" s="58"/>
      <c r="FC653" s="58"/>
      <c r="FD653" s="58"/>
      <c r="FE653" s="58"/>
      <c r="FF653" s="58"/>
      <c r="FG653" s="58"/>
      <c r="FH653" s="58"/>
      <c r="FI653" s="58"/>
      <c r="FJ653" s="58"/>
      <c r="FK653" s="58"/>
      <c r="FL653" s="58"/>
      <c r="FM653" s="58"/>
    </row>
    <row r="654">
      <c r="ET654" s="58"/>
      <c r="EU654" s="58"/>
      <c r="EV654" s="58"/>
      <c r="EW654" s="58"/>
      <c r="EX654" s="58"/>
      <c r="EY654" s="58"/>
      <c r="EZ654" s="58"/>
      <c r="FA654" s="58"/>
      <c r="FB654" s="58"/>
      <c r="FC654" s="58"/>
      <c r="FD654" s="58"/>
      <c r="FE654" s="58"/>
      <c r="FF654" s="58"/>
      <c r="FG654" s="58"/>
      <c r="FH654" s="58"/>
      <c r="FI654" s="58"/>
      <c r="FJ654" s="58"/>
      <c r="FK654" s="58"/>
      <c r="FL654" s="58"/>
      <c r="FM654" s="58"/>
    </row>
    <row r="655">
      <c r="ET655" s="58"/>
      <c r="EU655" s="58"/>
      <c r="EV655" s="58"/>
      <c r="EW655" s="58"/>
      <c r="EX655" s="58"/>
      <c r="EY655" s="58"/>
      <c r="EZ655" s="58"/>
      <c r="FA655" s="58"/>
      <c r="FB655" s="58"/>
      <c r="FC655" s="58"/>
      <c r="FD655" s="58"/>
      <c r="FE655" s="58"/>
      <c r="FF655" s="58"/>
      <c r="FG655" s="58"/>
      <c r="FH655" s="58"/>
      <c r="FI655" s="58"/>
      <c r="FJ655" s="58"/>
      <c r="FK655" s="58"/>
      <c r="FL655" s="58"/>
      <c r="FM655" s="58"/>
    </row>
    <row r="656">
      <c r="ET656" s="58"/>
      <c r="EU656" s="58"/>
      <c r="EV656" s="58"/>
      <c r="EW656" s="58"/>
      <c r="EX656" s="58"/>
      <c r="EY656" s="58"/>
      <c r="EZ656" s="58"/>
      <c r="FA656" s="58"/>
      <c r="FB656" s="58"/>
      <c r="FC656" s="58"/>
      <c r="FD656" s="58"/>
      <c r="FE656" s="58"/>
      <c r="FF656" s="58"/>
      <c r="FG656" s="58"/>
      <c r="FH656" s="58"/>
      <c r="FI656" s="58"/>
      <c r="FJ656" s="58"/>
      <c r="FK656" s="58"/>
      <c r="FL656" s="58"/>
      <c r="FM656" s="58"/>
    </row>
    <row r="657">
      <c r="ET657" s="58"/>
      <c r="EU657" s="58"/>
      <c r="EV657" s="58"/>
      <c r="EW657" s="58"/>
      <c r="EX657" s="58"/>
      <c r="EY657" s="58"/>
      <c r="EZ657" s="58"/>
      <c r="FA657" s="58"/>
      <c r="FB657" s="58"/>
      <c r="FC657" s="58"/>
      <c r="FD657" s="58"/>
      <c r="FE657" s="58"/>
      <c r="FF657" s="58"/>
      <c r="FG657" s="58"/>
      <c r="FH657" s="58"/>
      <c r="FI657" s="58"/>
      <c r="FJ657" s="58"/>
      <c r="FK657" s="58"/>
      <c r="FL657" s="58"/>
      <c r="FM657" s="58"/>
    </row>
    <row r="658">
      <c r="ET658" s="58"/>
      <c r="EU658" s="58"/>
      <c r="EV658" s="58"/>
      <c r="EW658" s="58"/>
      <c r="EX658" s="58"/>
      <c r="EY658" s="58"/>
      <c r="EZ658" s="58"/>
      <c r="FA658" s="58"/>
      <c r="FB658" s="58"/>
      <c r="FC658" s="58"/>
      <c r="FD658" s="58"/>
      <c r="FE658" s="58"/>
      <c r="FF658" s="58"/>
      <c r="FG658" s="58"/>
      <c r="FH658" s="58"/>
      <c r="FI658" s="58"/>
      <c r="FJ658" s="58"/>
      <c r="FK658" s="58"/>
      <c r="FL658" s="58"/>
      <c r="FM658" s="58"/>
    </row>
    <row r="659">
      <c r="ET659" s="58"/>
      <c r="EU659" s="58"/>
      <c r="EV659" s="58"/>
      <c r="EW659" s="58"/>
      <c r="EX659" s="58"/>
      <c r="EY659" s="58"/>
      <c r="EZ659" s="58"/>
      <c r="FA659" s="58"/>
      <c r="FB659" s="58"/>
      <c r="FC659" s="58"/>
      <c r="FD659" s="58"/>
      <c r="FE659" s="58"/>
      <c r="FF659" s="58"/>
      <c r="FG659" s="58"/>
      <c r="FH659" s="58"/>
      <c r="FI659" s="58"/>
      <c r="FJ659" s="58"/>
      <c r="FK659" s="58"/>
      <c r="FL659" s="58"/>
      <c r="FM659" s="58"/>
    </row>
    <row r="660">
      <c r="ET660" s="58"/>
      <c r="EU660" s="58"/>
      <c r="EV660" s="58"/>
      <c r="EW660" s="58"/>
      <c r="EX660" s="58"/>
      <c r="EY660" s="58"/>
      <c r="EZ660" s="58"/>
      <c r="FA660" s="58"/>
      <c r="FB660" s="58"/>
      <c r="FC660" s="58"/>
      <c r="FD660" s="58"/>
      <c r="FE660" s="58"/>
      <c r="FF660" s="58"/>
      <c r="FG660" s="58"/>
      <c r="FH660" s="58"/>
      <c r="FI660" s="58"/>
      <c r="FJ660" s="58"/>
      <c r="FK660" s="58"/>
      <c r="FL660" s="58"/>
      <c r="FM660" s="58"/>
    </row>
    <row r="661">
      <c r="ET661" s="58"/>
      <c r="EU661" s="58"/>
      <c r="EV661" s="58"/>
      <c r="EW661" s="58"/>
      <c r="EX661" s="58"/>
      <c r="EY661" s="58"/>
      <c r="EZ661" s="58"/>
      <c r="FA661" s="58"/>
      <c r="FB661" s="58"/>
      <c r="FC661" s="58"/>
      <c r="FD661" s="58"/>
      <c r="FE661" s="58"/>
      <c r="FF661" s="58"/>
      <c r="FG661" s="58"/>
      <c r="FH661" s="58"/>
      <c r="FI661" s="58"/>
      <c r="FJ661" s="58"/>
      <c r="FK661" s="58"/>
      <c r="FL661" s="58"/>
      <c r="FM661" s="58"/>
    </row>
    <row r="662">
      <c r="ET662" s="58"/>
      <c r="EU662" s="58"/>
      <c r="EV662" s="58"/>
      <c r="EW662" s="58"/>
      <c r="EX662" s="58"/>
      <c r="EY662" s="58"/>
      <c r="EZ662" s="58"/>
      <c r="FA662" s="58"/>
      <c r="FB662" s="58"/>
      <c r="FC662" s="58"/>
      <c r="FD662" s="58"/>
      <c r="FE662" s="58"/>
      <c r="FF662" s="58"/>
      <c r="FG662" s="58"/>
      <c r="FH662" s="58"/>
      <c r="FI662" s="58"/>
      <c r="FJ662" s="58"/>
      <c r="FK662" s="58"/>
      <c r="FL662" s="58"/>
      <c r="FM662" s="58"/>
    </row>
    <row r="663">
      <c r="ET663" s="58"/>
      <c r="EU663" s="58"/>
      <c r="EV663" s="58"/>
      <c r="EW663" s="58"/>
      <c r="EX663" s="58"/>
      <c r="EY663" s="58"/>
      <c r="EZ663" s="58"/>
      <c r="FA663" s="58"/>
      <c r="FB663" s="58"/>
      <c r="FC663" s="58"/>
      <c r="FD663" s="58"/>
      <c r="FE663" s="58"/>
      <c r="FF663" s="58"/>
      <c r="FG663" s="58"/>
      <c r="FH663" s="58"/>
      <c r="FI663" s="58"/>
      <c r="FJ663" s="58"/>
      <c r="FK663" s="58"/>
      <c r="FL663" s="58"/>
      <c r="FM663" s="58"/>
    </row>
    <row r="664">
      <c r="ET664" s="58"/>
      <c r="EU664" s="58"/>
      <c r="EV664" s="58"/>
      <c r="EW664" s="58"/>
      <c r="EX664" s="58"/>
      <c r="EY664" s="58"/>
      <c r="EZ664" s="58"/>
      <c r="FA664" s="58"/>
      <c r="FB664" s="58"/>
      <c r="FC664" s="58"/>
      <c r="FD664" s="58"/>
      <c r="FE664" s="58"/>
      <c r="FF664" s="58"/>
      <c r="FG664" s="58"/>
      <c r="FH664" s="58"/>
      <c r="FI664" s="58"/>
      <c r="FJ664" s="58"/>
      <c r="FK664" s="58"/>
      <c r="FL664" s="58"/>
      <c r="FM664" s="58"/>
    </row>
    <row r="665">
      <c r="ET665" s="58"/>
      <c r="EU665" s="58"/>
      <c r="EV665" s="58"/>
      <c r="EW665" s="58"/>
      <c r="EX665" s="58"/>
      <c r="EY665" s="58"/>
      <c r="EZ665" s="58"/>
      <c r="FA665" s="58"/>
      <c r="FB665" s="58"/>
      <c r="FC665" s="58"/>
      <c r="FD665" s="58"/>
      <c r="FE665" s="58"/>
      <c r="FF665" s="58"/>
      <c r="FG665" s="58"/>
      <c r="FH665" s="58"/>
      <c r="FI665" s="58"/>
      <c r="FJ665" s="58"/>
      <c r="FK665" s="58"/>
      <c r="FL665" s="58"/>
      <c r="FM665" s="58"/>
    </row>
    <row r="666">
      <c r="ET666" s="58"/>
      <c r="EU666" s="58"/>
      <c r="EV666" s="58"/>
      <c r="EW666" s="58"/>
      <c r="EX666" s="58"/>
      <c r="EY666" s="58"/>
      <c r="EZ666" s="58"/>
      <c r="FA666" s="58"/>
      <c r="FB666" s="58"/>
      <c r="FC666" s="58"/>
      <c r="FD666" s="58"/>
      <c r="FE666" s="58"/>
      <c r="FF666" s="58"/>
      <c r="FG666" s="58"/>
      <c r="FH666" s="58"/>
      <c r="FI666" s="58"/>
      <c r="FJ666" s="58"/>
      <c r="FK666" s="58"/>
      <c r="FL666" s="58"/>
      <c r="FM666" s="58"/>
    </row>
    <row r="667">
      <c r="ET667" s="58"/>
      <c r="EU667" s="58"/>
      <c r="EV667" s="58"/>
      <c r="EW667" s="58"/>
      <c r="EX667" s="58"/>
      <c r="EY667" s="58"/>
      <c r="EZ667" s="58"/>
      <c r="FA667" s="58"/>
      <c r="FB667" s="58"/>
      <c r="FC667" s="58"/>
      <c r="FD667" s="58"/>
      <c r="FE667" s="58"/>
      <c r="FF667" s="58"/>
      <c r="FG667" s="58"/>
      <c r="FH667" s="58"/>
      <c r="FI667" s="58"/>
      <c r="FJ667" s="58"/>
      <c r="FK667" s="58"/>
      <c r="FL667" s="58"/>
      <c r="FM667" s="58"/>
    </row>
    <row r="668">
      <c r="ET668" s="58"/>
      <c r="EU668" s="58"/>
      <c r="EV668" s="58"/>
      <c r="EW668" s="58"/>
      <c r="EX668" s="58"/>
      <c r="EY668" s="58"/>
      <c r="EZ668" s="58"/>
      <c r="FA668" s="58"/>
      <c r="FB668" s="58"/>
      <c r="FC668" s="58"/>
      <c r="FD668" s="58"/>
      <c r="FE668" s="58"/>
      <c r="FF668" s="58"/>
      <c r="FG668" s="58"/>
      <c r="FH668" s="58"/>
      <c r="FI668" s="58"/>
      <c r="FJ668" s="58"/>
      <c r="FK668" s="58"/>
      <c r="FL668" s="58"/>
      <c r="FM668" s="58"/>
    </row>
    <row r="669">
      <c r="ET669" s="58"/>
      <c r="EU669" s="58"/>
      <c r="EV669" s="58"/>
      <c r="EW669" s="58"/>
      <c r="EX669" s="58"/>
      <c r="EY669" s="58"/>
      <c r="EZ669" s="58"/>
      <c r="FA669" s="58"/>
      <c r="FB669" s="58"/>
      <c r="FC669" s="58"/>
      <c r="FD669" s="58"/>
      <c r="FE669" s="58"/>
      <c r="FF669" s="58"/>
      <c r="FG669" s="58"/>
      <c r="FH669" s="58"/>
      <c r="FI669" s="58"/>
      <c r="FJ669" s="58"/>
      <c r="FK669" s="58"/>
      <c r="FL669" s="58"/>
      <c r="FM669" s="58"/>
    </row>
    <row r="670">
      <c r="ET670" s="58"/>
      <c r="EU670" s="58"/>
      <c r="EV670" s="58"/>
      <c r="EW670" s="58"/>
      <c r="EX670" s="58"/>
      <c r="EY670" s="58"/>
      <c r="EZ670" s="58"/>
      <c r="FA670" s="58"/>
      <c r="FB670" s="58"/>
      <c r="FC670" s="58"/>
      <c r="FD670" s="58"/>
      <c r="FE670" s="58"/>
      <c r="FF670" s="58"/>
      <c r="FG670" s="58"/>
      <c r="FH670" s="58"/>
      <c r="FI670" s="58"/>
      <c r="FJ670" s="58"/>
      <c r="FK670" s="58"/>
      <c r="FL670" s="58"/>
      <c r="FM670" s="58"/>
    </row>
    <row r="671">
      <c r="ET671" s="58"/>
      <c r="EU671" s="58"/>
      <c r="EV671" s="58"/>
      <c r="EW671" s="58"/>
      <c r="EX671" s="58"/>
      <c r="EY671" s="58"/>
      <c r="EZ671" s="58"/>
      <c r="FA671" s="58"/>
      <c r="FB671" s="58"/>
      <c r="FC671" s="58"/>
      <c r="FD671" s="58"/>
      <c r="FE671" s="58"/>
      <c r="FF671" s="58"/>
      <c r="FG671" s="58"/>
      <c r="FH671" s="58"/>
      <c r="FI671" s="58"/>
      <c r="FJ671" s="58"/>
      <c r="FK671" s="58"/>
      <c r="FL671" s="58"/>
      <c r="FM671" s="58"/>
    </row>
    <row r="672">
      <c r="ET672" s="58"/>
      <c r="EU672" s="58"/>
      <c r="EV672" s="58"/>
      <c r="EW672" s="58"/>
      <c r="EX672" s="58"/>
      <c r="EY672" s="58"/>
      <c r="EZ672" s="58"/>
      <c r="FA672" s="58"/>
      <c r="FB672" s="58"/>
      <c r="FC672" s="58"/>
      <c r="FD672" s="58"/>
      <c r="FE672" s="58"/>
      <c r="FF672" s="58"/>
      <c r="FG672" s="58"/>
      <c r="FH672" s="58"/>
      <c r="FI672" s="58"/>
      <c r="FJ672" s="58"/>
      <c r="FK672" s="58"/>
      <c r="FL672" s="58"/>
      <c r="FM672" s="58"/>
    </row>
    <row r="673">
      <c r="ET673" s="58"/>
      <c r="EU673" s="58"/>
      <c r="EV673" s="58"/>
      <c r="EW673" s="58"/>
      <c r="EX673" s="58"/>
      <c r="EY673" s="58"/>
      <c r="EZ673" s="58"/>
      <c r="FA673" s="58"/>
      <c r="FB673" s="58"/>
      <c r="FC673" s="58"/>
      <c r="FD673" s="58"/>
      <c r="FE673" s="58"/>
      <c r="FF673" s="58"/>
      <c r="FG673" s="58"/>
      <c r="FH673" s="58"/>
      <c r="FI673" s="58"/>
      <c r="FJ673" s="58"/>
      <c r="FK673" s="58"/>
      <c r="FL673" s="58"/>
      <c r="FM673" s="58"/>
    </row>
    <row r="674">
      <c r="ET674" s="58"/>
      <c r="EU674" s="58"/>
      <c r="EV674" s="58"/>
      <c r="EW674" s="58"/>
      <c r="EX674" s="58"/>
      <c r="EY674" s="58"/>
      <c r="EZ674" s="58"/>
      <c r="FA674" s="58"/>
      <c r="FB674" s="58"/>
      <c r="FC674" s="58"/>
      <c r="FD674" s="58"/>
      <c r="FE674" s="58"/>
      <c r="FF674" s="58"/>
      <c r="FG674" s="58"/>
      <c r="FH674" s="58"/>
      <c r="FI674" s="58"/>
      <c r="FJ674" s="58"/>
      <c r="FK674" s="58"/>
      <c r="FL674" s="58"/>
      <c r="FM674" s="58"/>
    </row>
    <row r="675">
      <c r="ET675" s="58"/>
      <c r="EU675" s="58"/>
      <c r="EV675" s="58"/>
      <c r="EW675" s="58"/>
      <c r="EX675" s="58"/>
      <c r="EY675" s="58"/>
      <c r="EZ675" s="58"/>
      <c r="FA675" s="58"/>
      <c r="FB675" s="58"/>
      <c r="FC675" s="58"/>
      <c r="FD675" s="58"/>
      <c r="FE675" s="58"/>
      <c r="FF675" s="58"/>
      <c r="FG675" s="58"/>
      <c r="FH675" s="58"/>
      <c r="FI675" s="58"/>
      <c r="FJ675" s="58"/>
      <c r="FK675" s="58"/>
      <c r="FL675" s="58"/>
      <c r="FM675" s="58"/>
    </row>
    <row r="676">
      <c r="ET676" s="58"/>
      <c r="EU676" s="58"/>
      <c r="EV676" s="58"/>
      <c r="EW676" s="58"/>
      <c r="EX676" s="58"/>
      <c r="EY676" s="58"/>
      <c r="EZ676" s="58"/>
      <c r="FA676" s="58"/>
      <c r="FB676" s="58"/>
      <c r="FC676" s="58"/>
      <c r="FD676" s="58"/>
      <c r="FE676" s="58"/>
      <c r="FF676" s="58"/>
      <c r="FG676" s="58"/>
      <c r="FH676" s="58"/>
      <c r="FI676" s="58"/>
      <c r="FJ676" s="58"/>
      <c r="FK676" s="58"/>
      <c r="FL676" s="58"/>
      <c r="FM676" s="58"/>
    </row>
    <row r="677">
      <c r="ET677" s="58"/>
      <c r="EU677" s="58"/>
      <c r="EV677" s="58"/>
      <c r="EW677" s="58"/>
      <c r="EX677" s="58"/>
      <c r="EY677" s="58"/>
      <c r="EZ677" s="58"/>
      <c r="FA677" s="58"/>
      <c r="FB677" s="58"/>
      <c r="FC677" s="58"/>
      <c r="FD677" s="58"/>
      <c r="FE677" s="58"/>
      <c r="FF677" s="58"/>
      <c r="FG677" s="58"/>
      <c r="FH677" s="58"/>
      <c r="FI677" s="58"/>
      <c r="FJ677" s="58"/>
      <c r="FK677" s="58"/>
      <c r="FL677" s="58"/>
      <c r="FM677" s="58"/>
    </row>
    <row r="678">
      <c r="ET678" s="58"/>
      <c r="EU678" s="58"/>
      <c r="EV678" s="58"/>
      <c r="EW678" s="58"/>
      <c r="EX678" s="58"/>
      <c r="EY678" s="58"/>
      <c r="EZ678" s="58"/>
      <c r="FA678" s="58"/>
      <c r="FB678" s="58"/>
      <c r="FC678" s="58"/>
      <c r="FD678" s="58"/>
      <c r="FE678" s="58"/>
      <c r="FF678" s="58"/>
      <c r="FG678" s="58"/>
      <c r="FH678" s="58"/>
      <c r="FI678" s="58"/>
      <c r="FJ678" s="58"/>
      <c r="FK678" s="58"/>
      <c r="FL678" s="58"/>
      <c r="FM678" s="58"/>
    </row>
    <row r="679">
      <c r="ET679" s="58"/>
      <c r="EU679" s="58"/>
      <c r="EV679" s="58"/>
      <c r="EW679" s="58"/>
      <c r="EX679" s="58"/>
      <c r="EY679" s="58"/>
      <c r="EZ679" s="58"/>
      <c r="FA679" s="58"/>
      <c r="FB679" s="58"/>
      <c r="FC679" s="58"/>
      <c r="FD679" s="58"/>
      <c r="FE679" s="58"/>
      <c r="FF679" s="58"/>
      <c r="FG679" s="58"/>
      <c r="FH679" s="58"/>
      <c r="FI679" s="58"/>
      <c r="FJ679" s="58"/>
      <c r="FK679" s="58"/>
      <c r="FL679" s="58"/>
      <c r="FM679" s="58"/>
    </row>
    <row r="680">
      <c r="ET680" s="58"/>
      <c r="EU680" s="58"/>
      <c r="EV680" s="58"/>
      <c r="EW680" s="58"/>
      <c r="EX680" s="58"/>
      <c r="EY680" s="58"/>
      <c r="EZ680" s="58"/>
      <c r="FA680" s="58"/>
      <c r="FB680" s="58"/>
      <c r="FC680" s="58"/>
      <c r="FD680" s="58"/>
      <c r="FE680" s="58"/>
      <c r="FF680" s="58"/>
      <c r="FG680" s="58"/>
      <c r="FH680" s="58"/>
      <c r="FI680" s="58"/>
      <c r="FJ680" s="58"/>
      <c r="FK680" s="58"/>
      <c r="FL680" s="58"/>
      <c r="FM680" s="58"/>
    </row>
    <row r="681">
      <c r="ET681" s="58"/>
      <c r="EU681" s="58"/>
      <c r="EV681" s="58"/>
      <c r="EW681" s="58"/>
      <c r="EX681" s="58"/>
      <c r="EY681" s="58"/>
      <c r="EZ681" s="58"/>
      <c r="FA681" s="58"/>
      <c r="FB681" s="58"/>
      <c r="FC681" s="58"/>
      <c r="FD681" s="58"/>
      <c r="FE681" s="58"/>
      <c r="FF681" s="58"/>
      <c r="FG681" s="58"/>
      <c r="FH681" s="58"/>
      <c r="FI681" s="58"/>
      <c r="FJ681" s="58"/>
      <c r="FK681" s="58"/>
      <c r="FL681" s="58"/>
      <c r="FM681" s="58"/>
    </row>
    <row r="682">
      <c r="ET682" s="58"/>
      <c r="EU682" s="58"/>
      <c r="EV682" s="58"/>
      <c r="EW682" s="58"/>
      <c r="EX682" s="58"/>
      <c r="EY682" s="58"/>
      <c r="EZ682" s="58"/>
      <c r="FA682" s="58"/>
      <c r="FB682" s="58"/>
      <c r="FC682" s="58"/>
      <c r="FD682" s="58"/>
      <c r="FE682" s="58"/>
      <c r="FF682" s="58"/>
      <c r="FG682" s="58"/>
      <c r="FH682" s="58"/>
      <c r="FI682" s="58"/>
      <c r="FJ682" s="58"/>
      <c r="FK682" s="58"/>
      <c r="FL682" s="58"/>
      <c r="FM682" s="58"/>
    </row>
    <row r="683">
      <c r="ET683" s="58"/>
      <c r="EU683" s="58"/>
      <c r="EV683" s="58"/>
      <c r="EW683" s="58"/>
      <c r="EX683" s="58"/>
      <c r="EY683" s="58"/>
      <c r="EZ683" s="58"/>
      <c r="FA683" s="58"/>
      <c r="FB683" s="58"/>
      <c r="FC683" s="58"/>
      <c r="FD683" s="58"/>
      <c r="FE683" s="58"/>
      <c r="FF683" s="58"/>
      <c r="FG683" s="58"/>
      <c r="FH683" s="58"/>
      <c r="FI683" s="58"/>
      <c r="FJ683" s="58"/>
      <c r="FK683" s="58"/>
      <c r="FL683" s="58"/>
      <c r="FM683" s="58"/>
    </row>
    <row r="684">
      <c r="ET684" s="58"/>
      <c r="EU684" s="58"/>
      <c r="EV684" s="58"/>
      <c r="EW684" s="58"/>
      <c r="EX684" s="58"/>
      <c r="EY684" s="58"/>
      <c r="EZ684" s="58"/>
      <c r="FA684" s="58"/>
      <c r="FB684" s="58"/>
      <c r="FC684" s="58"/>
      <c r="FD684" s="58"/>
      <c r="FE684" s="58"/>
      <c r="FF684" s="58"/>
      <c r="FG684" s="58"/>
      <c r="FH684" s="58"/>
      <c r="FI684" s="58"/>
      <c r="FJ684" s="58"/>
      <c r="FK684" s="58"/>
      <c r="FL684" s="58"/>
      <c r="FM684" s="58"/>
    </row>
    <row r="685">
      <c r="ET685" s="58"/>
      <c r="EU685" s="58"/>
      <c r="EV685" s="58"/>
      <c r="EW685" s="58"/>
      <c r="EX685" s="58"/>
      <c r="EY685" s="58"/>
      <c r="EZ685" s="58"/>
      <c r="FA685" s="58"/>
      <c r="FB685" s="58"/>
      <c r="FC685" s="58"/>
      <c r="FD685" s="58"/>
      <c r="FE685" s="58"/>
      <c r="FF685" s="58"/>
      <c r="FG685" s="58"/>
      <c r="FH685" s="58"/>
      <c r="FI685" s="58"/>
      <c r="FJ685" s="58"/>
      <c r="FK685" s="58"/>
      <c r="FL685" s="58"/>
      <c r="FM685" s="58"/>
    </row>
    <row r="686">
      <c r="ET686" s="58"/>
      <c r="EU686" s="58"/>
      <c r="EV686" s="58"/>
      <c r="EW686" s="58"/>
      <c r="EX686" s="58"/>
      <c r="EY686" s="58"/>
      <c r="EZ686" s="58"/>
      <c r="FA686" s="58"/>
      <c r="FB686" s="58"/>
      <c r="FC686" s="58"/>
      <c r="FD686" s="58"/>
      <c r="FE686" s="58"/>
      <c r="FF686" s="58"/>
      <c r="FG686" s="58"/>
      <c r="FH686" s="58"/>
      <c r="FI686" s="58"/>
      <c r="FJ686" s="58"/>
      <c r="FK686" s="58"/>
      <c r="FL686" s="58"/>
      <c r="FM686" s="58"/>
    </row>
    <row r="687">
      <c r="ET687" s="58"/>
      <c r="EU687" s="58"/>
      <c r="EV687" s="58"/>
      <c r="EW687" s="58"/>
      <c r="EX687" s="58"/>
      <c r="EY687" s="58"/>
      <c r="EZ687" s="58"/>
      <c r="FA687" s="58"/>
      <c r="FB687" s="58"/>
      <c r="FC687" s="58"/>
      <c r="FD687" s="58"/>
      <c r="FE687" s="58"/>
      <c r="FF687" s="58"/>
      <c r="FG687" s="58"/>
      <c r="FH687" s="58"/>
      <c r="FI687" s="58"/>
      <c r="FJ687" s="58"/>
      <c r="FK687" s="58"/>
      <c r="FL687" s="58"/>
      <c r="FM687" s="58"/>
    </row>
    <row r="688">
      <c r="ET688" s="58"/>
      <c r="EU688" s="58"/>
      <c r="EV688" s="58"/>
      <c r="EW688" s="58"/>
      <c r="EX688" s="58"/>
      <c r="EY688" s="58"/>
      <c r="EZ688" s="58"/>
      <c r="FA688" s="58"/>
      <c r="FB688" s="58"/>
      <c r="FC688" s="58"/>
      <c r="FD688" s="58"/>
      <c r="FE688" s="58"/>
      <c r="FF688" s="58"/>
      <c r="FG688" s="58"/>
      <c r="FH688" s="58"/>
      <c r="FI688" s="58"/>
      <c r="FJ688" s="58"/>
      <c r="FK688" s="58"/>
      <c r="FL688" s="58"/>
      <c r="FM688" s="58"/>
    </row>
    <row r="689">
      <c r="ET689" s="58"/>
      <c r="EU689" s="58"/>
      <c r="EV689" s="58"/>
      <c r="EW689" s="58"/>
      <c r="EX689" s="58"/>
      <c r="EY689" s="58"/>
      <c r="EZ689" s="58"/>
      <c r="FA689" s="58"/>
      <c r="FB689" s="58"/>
      <c r="FC689" s="58"/>
      <c r="FD689" s="58"/>
      <c r="FE689" s="58"/>
      <c r="FF689" s="58"/>
      <c r="FG689" s="58"/>
      <c r="FH689" s="58"/>
      <c r="FI689" s="58"/>
      <c r="FJ689" s="58"/>
      <c r="FK689" s="58"/>
      <c r="FL689" s="58"/>
      <c r="FM689" s="58"/>
    </row>
    <row r="690">
      <c r="ET690" s="58"/>
      <c r="EU690" s="58"/>
      <c r="EV690" s="58"/>
      <c r="EW690" s="58"/>
      <c r="EX690" s="58"/>
      <c r="EY690" s="58"/>
      <c r="EZ690" s="58"/>
      <c r="FA690" s="58"/>
      <c r="FB690" s="58"/>
      <c r="FC690" s="58"/>
      <c r="FD690" s="58"/>
      <c r="FE690" s="58"/>
      <c r="FF690" s="58"/>
      <c r="FG690" s="58"/>
      <c r="FH690" s="58"/>
      <c r="FI690" s="58"/>
      <c r="FJ690" s="58"/>
      <c r="FK690" s="58"/>
      <c r="FL690" s="58"/>
      <c r="FM690" s="58"/>
    </row>
    <row r="691">
      <c r="ET691" s="58"/>
      <c r="EU691" s="58"/>
      <c r="EV691" s="58"/>
      <c r="EW691" s="58"/>
      <c r="EX691" s="58"/>
      <c r="EY691" s="58"/>
      <c r="EZ691" s="58"/>
      <c r="FA691" s="58"/>
      <c r="FB691" s="58"/>
      <c r="FC691" s="58"/>
      <c r="FD691" s="58"/>
      <c r="FE691" s="58"/>
      <c r="FF691" s="58"/>
      <c r="FG691" s="58"/>
      <c r="FH691" s="58"/>
      <c r="FI691" s="58"/>
      <c r="FJ691" s="58"/>
      <c r="FK691" s="58"/>
      <c r="FL691" s="58"/>
      <c r="FM691" s="58"/>
    </row>
    <row r="692">
      <c r="ET692" s="58"/>
      <c r="EU692" s="58"/>
      <c r="EV692" s="58"/>
      <c r="EW692" s="58"/>
      <c r="EX692" s="58"/>
      <c r="EY692" s="58"/>
      <c r="EZ692" s="58"/>
      <c r="FA692" s="58"/>
      <c r="FB692" s="58"/>
      <c r="FC692" s="58"/>
      <c r="FD692" s="58"/>
      <c r="FE692" s="58"/>
      <c r="FF692" s="58"/>
      <c r="FG692" s="58"/>
      <c r="FH692" s="58"/>
      <c r="FI692" s="58"/>
      <c r="FJ692" s="58"/>
      <c r="FK692" s="58"/>
      <c r="FL692" s="58"/>
      <c r="FM692" s="58"/>
    </row>
    <row r="693">
      <c r="ET693" s="58"/>
      <c r="EU693" s="58"/>
      <c r="EV693" s="58"/>
      <c r="EW693" s="58"/>
      <c r="EX693" s="58"/>
      <c r="EY693" s="58"/>
      <c r="EZ693" s="58"/>
      <c r="FA693" s="58"/>
      <c r="FB693" s="58"/>
      <c r="FC693" s="58"/>
      <c r="FD693" s="58"/>
      <c r="FE693" s="58"/>
      <c r="FF693" s="58"/>
      <c r="FG693" s="58"/>
      <c r="FH693" s="58"/>
      <c r="FI693" s="58"/>
      <c r="FJ693" s="58"/>
      <c r="FK693" s="58"/>
      <c r="FL693" s="58"/>
      <c r="FM693" s="58"/>
    </row>
    <row r="694">
      <c r="ET694" s="58"/>
      <c r="EU694" s="58"/>
      <c r="EV694" s="58"/>
      <c r="EW694" s="58"/>
      <c r="EX694" s="58"/>
      <c r="EY694" s="58"/>
      <c r="EZ694" s="58"/>
      <c r="FA694" s="58"/>
      <c r="FB694" s="58"/>
      <c r="FC694" s="58"/>
      <c r="FD694" s="58"/>
      <c r="FE694" s="58"/>
      <c r="FF694" s="58"/>
      <c r="FG694" s="58"/>
      <c r="FH694" s="58"/>
      <c r="FI694" s="58"/>
      <c r="FJ694" s="58"/>
      <c r="FK694" s="58"/>
      <c r="FL694" s="58"/>
      <c r="FM694" s="58"/>
    </row>
    <row r="695">
      <c r="ET695" s="58"/>
      <c r="EU695" s="58"/>
      <c r="EV695" s="58"/>
      <c r="EW695" s="58"/>
      <c r="EX695" s="58"/>
      <c r="EY695" s="58"/>
      <c r="EZ695" s="58"/>
      <c r="FA695" s="58"/>
      <c r="FB695" s="58"/>
      <c r="FC695" s="58"/>
      <c r="FD695" s="58"/>
      <c r="FE695" s="58"/>
      <c r="FF695" s="58"/>
      <c r="FG695" s="58"/>
      <c r="FH695" s="58"/>
      <c r="FI695" s="58"/>
      <c r="FJ695" s="58"/>
      <c r="FK695" s="58"/>
      <c r="FL695" s="58"/>
      <c r="FM695" s="58"/>
    </row>
    <row r="696">
      <c r="ET696" s="58"/>
      <c r="EU696" s="58"/>
      <c r="EV696" s="58"/>
      <c r="EW696" s="58"/>
      <c r="EX696" s="58"/>
      <c r="EY696" s="58"/>
      <c r="EZ696" s="58"/>
      <c r="FA696" s="58"/>
      <c r="FB696" s="58"/>
      <c r="FC696" s="58"/>
      <c r="FD696" s="58"/>
      <c r="FE696" s="58"/>
      <c r="FF696" s="58"/>
      <c r="FG696" s="58"/>
      <c r="FH696" s="58"/>
      <c r="FI696" s="58"/>
      <c r="FJ696" s="58"/>
      <c r="FK696" s="58"/>
      <c r="FL696" s="58"/>
      <c r="FM696" s="58"/>
    </row>
    <row r="697">
      <c r="ET697" s="58"/>
      <c r="EU697" s="58"/>
      <c r="EV697" s="58"/>
      <c r="EW697" s="58"/>
      <c r="EX697" s="58"/>
      <c r="EY697" s="58"/>
      <c r="EZ697" s="58"/>
      <c r="FA697" s="58"/>
      <c r="FB697" s="58"/>
      <c r="FC697" s="58"/>
      <c r="FD697" s="58"/>
      <c r="FE697" s="58"/>
      <c r="FF697" s="58"/>
      <c r="FG697" s="58"/>
      <c r="FH697" s="58"/>
      <c r="FI697" s="58"/>
      <c r="FJ697" s="58"/>
      <c r="FK697" s="58"/>
      <c r="FL697" s="58"/>
      <c r="FM697" s="58"/>
    </row>
    <row r="698">
      <c r="ET698" s="58"/>
      <c r="EU698" s="58"/>
      <c r="EV698" s="58"/>
      <c r="EW698" s="58"/>
      <c r="EX698" s="58"/>
      <c r="EY698" s="58"/>
      <c r="EZ698" s="58"/>
      <c r="FA698" s="58"/>
      <c r="FB698" s="58"/>
      <c r="FC698" s="58"/>
      <c r="FD698" s="58"/>
      <c r="FE698" s="58"/>
      <c r="FF698" s="58"/>
      <c r="FG698" s="58"/>
      <c r="FH698" s="58"/>
      <c r="FI698" s="58"/>
      <c r="FJ698" s="58"/>
      <c r="FK698" s="58"/>
      <c r="FL698" s="58"/>
      <c r="FM698" s="58"/>
    </row>
    <row r="699">
      <c r="ET699" s="58"/>
      <c r="EU699" s="58"/>
      <c r="EV699" s="58"/>
      <c r="EW699" s="58"/>
      <c r="EX699" s="58"/>
      <c r="EY699" s="58"/>
      <c r="EZ699" s="58"/>
      <c r="FA699" s="58"/>
      <c r="FB699" s="58"/>
      <c r="FC699" s="58"/>
      <c r="FD699" s="58"/>
      <c r="FE699" s="58"/>
      <c r="FF699" s="58"/>
      <c r="FG699" s="58"/>
      <c r="FH699" s="58"/>
      <c r="FI699" s="58"/>
      <c r="FJ699" s="58"/>
      <c r="FK699" s="58"/>
      <c r="FL699" s="58"/>
      <c r="FM699" s="58"/>
    </row>
    <row r="700">
      <c r="ET700" s="58"/>
      <c r="EU700" s="58"/>
      <c r="EV700" s="58"/>
      <c r="EW700" s="58"/>
      <c r="EX700" s="58"/>
      <c r="EY700" s="58"/>
      <c r="EZ700" s="58"/>
      <c r="FA700" s="58"/>
      <c r="FB700" s="58"/>
      <c r="FC700" s="58"/>
      <c r="FD700" s="58"/>
      <c r="FE700" s="58"/>
      <c r="FF700" s="58"/>
      <c r="FG700" s="58"/>
      <c r="FH700" s="58"/>
      <c r="FI700" s="58"/>
      <c r="FJ700" s="58"/>
      <c r="FK700" s="58"/>
      <c r="FL700" s="58"/>
      <c r="FM700" s="58"/>
    </row>
    <row r="701">
      <c r="ET701" s="58"/>
      <c r="EU701" s="58"/>
      <c r="EV701" s="58"/>
      <c r="EW701" s="58"/>
      <c r="EX701" s="58"/>
      <c r="EY701" s="58"/>
      <c r="EZ701" s="58"/>
      <c r="FA701" s="58"/>
      <c r="FB701" s="58"/>
      <c r="FC701" s="58"/>
      <c r="FD701" s="58"/>
      <c r="FE701" s="58"/>
      <c r="FF701" s="58"/>
      <c r="FG701" s="58"/>
      <c r="FH701" s="58"/>
      <c r="FI701" s="58"/>
      <c r="FJ701" s="58"/>
      <c r="FK701" s="58"/>
      <c r="FL701" s="58"/>
      <c r="FM701" s="58"/>
    </row>
    <row r="702">
      <c r="ET702" s="58"/>
      <c r="EU702" s="58"/>
      <c r="EV702" s="58"/>
      <c r="EW702" s="58"/>
      <c r="EX702" s="58"/>
      <c r="EY702" s="58"/>
      <c r="EZ702" s="58"/>
      <c r="FA702" s="58"/>
      <c r="FB702" s="58"/>
      <c r="FC702" s="58"/>
      <c r="FD702" s="58"/>
      <c r="FE702" s="58"/>
      <c r="FF702" s="58"/>
      <c r="FG702" s="58"/>
      <c r="FH702" s="58"/>
      <c r="FI702" s="58"/>
      <c r="FJ702" s="58"/>
      <c r="FK702" s="58"/>
      <c r="FL702" s="58"/>
      <c r="FM702" s="58"/>
    </row>
    <row r="703">
      <c r="ET703" s="58"/>
      <c r="EU703" s="58"/>
      <c r="EV703" s="58"/>
      <c r="EW703" s="58"/>
      <c r="EX703" s="58"/>
      <c r="EY703" s="58"/>
      <c r="EZ703" s="58"/>
      <c r="FA703" s="58"/>
      <c r="FB703" s="58"/>
      <c r="FC703" s="58"/>
      <c r="FD703" s="58"/>
      <c r="FE703" s="58"/>
      <c r="FF703" s="58"/>
      <c r="FG703" s="58"/>
      <c r="FH703" s="58"/>
      <c r="FI703" s="58"/>
      <c r="FJ703" s="58"/>
      <c r="FK703" s="58"/>
      <c r="FL703" s="58"/>
      <c r="FM703" s="58"/>
    </row>
    <row r="704">
      <c r="ET704" s="58"/>
      <c r="EU704" s="58"/>
      <c r="EV704" s="58"/>
      <c r="EW704" s="58"/>
      <c r="EX704" s="58"/>
      <c r="EY704" s="58"/>
      <c r="EZ704" s="58"/>
      <c r="FA704" s="58"/>
      <c r="FB704" s="58"/>
      <c r="FC704" s="58"/>
      <c r="FD704" s="58"/>
      <c r="FE704" s="58"/>
      <c r="FF704" s="58"/>
      <c r="FG704" s="58"/>
      <c r="FH704" s="58"/>
      <c r="FI704" s="58"/>
      <c r="FJ704" s="58"/>
      <c r="FK704" s="58"/>
      <c r="FL704" s="58"/>
      <c r="FM704" s="58"/>
    </row>
    <row r="705">
      <c r="ET705" s="58"/>
      <c r="EU705" s="58"/>
      <c r="EV705" s="58"/>
      <c r="EW705" s="58"/>
      <c r="EX705" s="58"/>
      <c r="EY705" s="58"/>
      <c r="EZ705" s="58"/>
      <c r="FA705" s="58"/>
      <c r="FB705" s="58"/>
      <c r="FC705" s="58"/>
      <c r="FD705" s="58"/>
      <c r="FE705" s="58"/>
      <c r="FF705" s="58"/>
      <c r="FG705" s="58"/>
      <c r="FH705" s="58"/>
      <c r="FI705" s="58"/>
      <c r="FJ705" s="58"/>
      <c r="FK705" s="58"/>
      <c r="FL705" s="58"/>
      <c r="FM705" s="58"/>
    </row>
    <row r="706">
      <c r="ET706" s="58"/>
      <c r="EU706" s="58"/>
      <c r="EV706" s="58"/>
      <c r="EW706" s="58"/>
      <c r="EX706" s="58"/>
      <c r="EY706" s="58"/>
      <c r="EZ706" s="58"/>
      <c r="FA706" s="58"/>
      <c r="FB706" s="58"/>
      <c r="FC706" s="58"/>
      <c r="FD706" s="58"/>
      <c r="FE706" s="58"/>
      <c r="FF706" s="58"/>
      <c r="FG706" s="58"/>
      <c r="FH706" s="58"/>
      <c r="FI706" s="58"/>
      <c r="FJ706" s="58"/>
      <c r="FK706" s="58"/>
      <c r="FL706" s="58"/>
      <c r="FM706" s="58"/>
    </row>
    <row r="707">
      <c r="ET707" s="58"/>
      <c r="EU707" s="58"/>
      <c r="EV707" s="58"/>
      <c r="EW707" s="58"/>
      <c r="EX707" s="58"/>
      <c r="EY707" s="58"/>
      <c r="EZ707" s="58"/>
      <c r="FA707" s="58"/>
      <c r="FB707" s="58"/>
      <c r="FC707" s="58"/>
      <c r="FD707" s="58"/>
      <c r="FE707" s="58"/>
      <c r="FF707" s="58"/>
      <c r="FG707" s="58"/>
      <c r="FH707" s="58"/>
      <c r="FI707" s="58"/>
      <c r="FJ707" s="58"/>
      <c r="FK707" s="58"/>
      <c r="FL707" s="58"/>
      <c r="FM707" s="58"/>
    </row>
    <row r="708">
      <c r="ET708" s="58"/>
      <c r="EU708" s="58"/>
      <c r="EV708" s="58"/>
      <c r="EW708" s="58"/>
      <c r="EX708" s="58"/>
      <c r="EY708" s="58"/>
      <c r="EZ708" s="58"/>
      <c r="FA708" s="58"/>
      <c r="FB708" s="58"/>
      <c r="FC708" s="58"/>
      <c r="FD708" s="58"/>
      <c r="FE708" s="58"/>
      <c r="FF708" s="58"/>
      <c r="FG708" s="58"/>
      <c r="FH708" s="58"/>
      <c r="FI708" s="58"/>
      <c r="FJ708" s="58"/>
      <c r="FK708" s="58"/>
      <c r="FL708" s="58"/>
      <c r="FM708" s="58"/>
    </row>
    <row r="709">
      <c r="ET709" s="58"/>
      <c r="EU709" s="58"/>
      <c r="EV709" s="58"/>
      <c r="EW709" s="58"/>
      <c r="EX709" s="58"/>
      <c r="EY709" s="58"/>
      <c r="EZ709" s="58"/>
      <c r="FA709" s="58"/>
      <c r="FB709" s="58"/>
      <c r="FC709" s="58"/>
      <c r="FD709" s="58"/>
      <c r="FE709" s="58"/>
      <c r="FF709" s="58"/>
      <c r="FG709" s="58"/>
      <c r="FH709" s="58"/>
      <c r="FI709" s="58"/>
      <c r="FJ709" s="58"/>
      <c r="FK709" s="58"/>
      <c r="FL709" s="58"/>
      <c r="FM709" s="58"/>
    </row>
    <row r="710">
      <c r="ET710" s="58"/>
      <c r="EU710" s="58"/>
      <c r="EV710" s="58"/>
      <c r="EW710" s="58"/>
      <c r="EX710" s="58"/>
      <c r="EY710" s="58"/>
      <c r="EZ710" s="58"/>
      <c r="FA710" s="58"/>
      <c r="FB710" s="58"/>
      <c r="FC710" s="58"/>
      <c r="FD710" s="58"/>
      <c r="FE710" s="58"/>
      <c r="FF710" s="58"/>
      <c r="FG710" s="58"/>
      <c r="FH710" s="58"/>
      <c r="FI710" s="58"/>
      <c r="FJ710" s="58"/>
      <c r="FK710" s="58"/>
      <c r="FL710" s="58"/>
      <c r="FM710" s="58"/>
    </row>
    <row r="711">
      <c r="ET711" s="58"/>
      <c r="EU711" s="58"/>
      <c r="EV711" s="58"/>
      <c r="EW711" s="58"/>
      <c r="EX711" s="58"/>
      <c r="EY711" s="58"/>
      <c r="EZ711" s="58"/>
      <c r="FA711" s="58"/>
      <c r="FB711" s="58"/>
      <c r="FC711" s="58"/>
      <c r="FD711" s="58"/>
      <c r="FE711" s="58"/>
      <c r="FF711" s="58"/>
      <c r="FG711" s="58"/>
      <c r="FH711" s="58"/>
      <c r="FI711" s="58"/>
      <c r="FJ711" s="58"/>
      <c r="FK711" s="58"/>
      <c r="FL711" s="58"/>
      <c r="FM711" s="58"/>
    </row>
    <row r="712">
      <c r="ET712" s="58"/>
      <c r="EU712" s="58"/>
      <c r="EV712" s="58"/>
      <c r="EW712" s="58"/>
      <c r="EX712" s="58"/>
      <c r="EY712" s="58"/>
      <c r="EZ712" s="58"/>
      <c r="FA712" s="58"/>
      <c r="FB712" s="58"/>
      <c r="FC712" s="58"/>
      <c r="FD712" s="58"/>
      <c r="FE712" s="58"/>
      <c r="FF712" s="58"/>
      <c r="FG712" s="58"/>
      <c r="FH712" s="58"/>
      <c r="FI712" s="58"/>
      <c r="FJ712" s="58"/>
      <c r="FK712" s="58"/>
      <c r="FL712" s="58"/>
      <c r="FM712" s="58"/>
    </row>
    <row r="713">
      <c r="ET713" s="58"/>
      <c r="EU713" s="58"/>
      <c r="EV713" s="58"/>
      <c r="EW713" s="58"/>
      <c r="EX713" s="58"/>
      <c r="EY713" s="58"/>
      <c r="EZ713" s="58"/>
      <c r="FA713" s="58"/>
      <c r="FB713" s="58"/>
      <c r="FC713" s="58"/>
      <c r="FD713" s="58"/>
      <c r="FE713" s="58"/>
      <c r="FF713" s="58"/>
      <c r="FG713" s="58"/>
      <c r="FH713" s="58"/>
      <c r="FI713" s="58"/>
      <c r="FJ713" s="58"/>
      <c r="FK713" s="58"/>
      <c r="FL713" s="58"/>
      <c r="FM713" s="58"/>
    </row>
    <row r="714">
      <c r="ET714" s="58"/>
      <c r="EU714" s="58"/>
      <c r="EV714" s="58"/>
      <c r="EW714" s="58"/>
      <c r="EX714" s="58"/>
      <c r="EY714" s="58"/>
      <c r="EZ714" s="58"/>
      <c r="FA714" s="58"/>
      <c r="FB714" s="58"/>
      <c r="FC714" s="58"/>
      <c r="FD714" s="58"/>
      <c r="FE714" s="58"/>
      <c r="FF714" s="58"/>
      <c r="FG714" s="58"/>
      <c r="FH714" s="58"/>
      <c r="FI714" s="58"/>
      <c r="FJ714" s="58"/>
      <c r="FK714" s="58"/>
      <c r="FL714" s="58"/>
      <c r="FM714" s="58"/>
    </row>
    <row r="715">
      <c r="ET715" s="58"/>
      <c r="EU715" s="58"/>
      <c r="EV715" s="58"/>
      <c r="EW715" s="58"/>
      <c r="EX715" s="58"/>
      <c r="EY715" s="58"/>
      <c r="EZ715" s="58"/>
      <c r="FA715" s="58"/>
      <c r="FB715" s="58"/>
      <c r="FC715" s="58"/>
      <c r="FD715" s="58"/>
      <c r="FE715" s="58"/>
      <c r="FF715" s="58"/>
      <c r="FG715" s="58"/>
      <c r="FH715" s="58"/>
      <c r="FI715" s="58"/>
      <c r="FJ715" s="58"/>
      <c r="FK715" s="58"/>
      <c r="FL715" s="58"/>
      <c r="FM715" s="58"/>
    </row>
    <row r="716">
      <c r="ET716" s="58"/>
      <c r="EU716" s="58"/>
      <c r="EV716" s="58"/>
      <c r="EW716" s="58"/>
      <c r="EX716" s="58"/>
      <c r="EY716" s="58"/>
      <c r="EZ716" s="58"/>
      <c r="FA716" s="58"/>
      <c r="FB716" s="58"/>
      <c r="FC716" s="58"/>
      <c r="FD716" s="58"/>
      <c r="FE716" s="58"/>
      <c r="FF716" s="58"/>
      <c r="FG716" s="58"/>
      <c r="FH716" s="58"/>
      <c r="FI716" s="58"/>
      <c r="FJ716" s="58"/>
      <c r="FK716" s="58"/>
      <c r="FL716" s="58"/>
      <c r="FM716" s="58"/>
    </row>
    <row r="717">
      <c r="ET717" s="58"/>
      <c r="EU717" s="58"/>
      <c r="EV717" s="58"/>
      <c r="EW717" s="58"/>
      <c r="EX717" s="58"/>
      <c r="EY717" s="58"/>
      <c r="EZ717" s="58"/>
      <c r="FA717" s="58"/>
      <c r="FB717" s="58"/>
      <c r="FC717" s="58"/>
      <c r="FD717" s="58"/>
      <c r="FE717" s="58"/>
      <c r="FF717" s="58"/>
      <c r="FG717" s="58"/>
      <c r="FH717" s="58"/>
      <c r="FI717" s="58"/>
      <c r="FJ717" s="58"/>
      <c r="FK717" s="58"/>
      <c r="FL717" s="58"/>
      <c r="FM717" s="58"/>
    </row>
    <row r="718">
      <c r="ET718" s="58"/>
      <c r="EU718" s="58"/>
      <c r="EV718" s="58"/>
      <c r="EW718" s="58"/>
      <c r="EX718" s="58"/>
      <c r="EY718" s="58"/>
      <c r="EZ718" s="58"/>
      <c r="FA718" s="58"/>
      <c r="FB718" s="58"/>
      <c r="FC718" s="58"/>
      <c r="FD718" s="58"/>
      <c r="FE718" s="58"/>
      <c r="FF718" s="58"/>
      <c r="FG718" s="58"/>
      <c r="FH718" s="58"/>
      <c r="FI718" s="58"/>
      <c r="FJ718" s="58"/>
      <c r="FK718" s="58"/>
      <c r="FL718" s="58"/>
      <c r="FM718" s="58"/>
    </row>
    <row r="719">
      <c r="ET719" s="58"/>
      <c r="EU719" s="58"/>
      <c r="EV719" s="58"/>
      <c r="EW719" s="58"/>
      <c r="EX719" s="58"/>
      <c r="EY719" s="58"/>
      <c r="EZ719" s="58"/>
      <c r="FA719" s="58"/>
      <c r="FB719" s="58"/>
      <c r="FC719" s="58"/>
      <c r="FD719" s="58"/>
      <c r="FE719" s="58"/>
      <c r="FF719" s="58"/>
      <c r="FG719" s="58"/>
      <c r="FH719" s="58"/>
      <c r="FI719" s="58"/>
      <c r="FJ719" s="58"/>
      <c r="FK719" s="58"/>
      <c r="FL719" s="58"/>
      <c r="FM719" s="58"/>
    </row>
    <row r="720">
      <c r="ET720" s="58"/>
      <c r="EU720" s="58"/>
      <c r="EV720" s="58"/>
      <c r="EW720" s="58"/>
      <c r="EX720" s="58"/>
      <c r="EY720" s="58"/>
      <c r="EZ720" s="58"/>
      <c r="FA720" s="58"/>
      <c r="FB720" s="58"/>
      <c r="FC720" s="58"/>
      <c r="FD720" s="58"/>
      <c r="FE720" s="58"/>
      <c r="FF720" s="58"/>
      <c r="FG720" s="58"/>
      <c r="FH720" s="58"/>
      <c r="FI720" s="58"/>
      <c r="FJ720" s="58"/>
      <c r="FK720" s="58"/>
      <c r="FL720" s="58"/>
      <c r="FM720" s="58"/>
    </row>
    <row r="721">
      <c r="ET721" s="58"/>
      <c r="EU721" s="58"/>
      <c r="EV721" s="58"/>
      <c r="EW721" s="58"/>
      <c r="EX721" s="58"/>
      <c r="EY721" s="58"/>
      <c r="EZ721" s="58"/>
      <c r="FA721" s="58"/>
      <c r="FB721" s="58"/>
      <c r="FC721" s="58"/>
      <c r="FD721" s="58"/>
      <c r="FE721" s="58"/>
      <c r="FF721" s="58"/>
      <c r="FG721" s="58"/>
      <c r="FH721" s="58"/>
      <c r="FI721" s="58"/>
      <c r="FJ721" s="58"/>
      <c r="FK721" s="58"/>
      <c r="FL721" s="58"/>
      <c r="FM721" s="58"/>
    </row>
    <row r="722">
      <c r="ET722" s="58"/>
      <c r="EU722" s="58"/>
      <c r="EV722" s="58"/>
      <c r="EW722" s="58"/>
      <c r="EX722" s="58"/>
      <c r="EY722" s="58"/>
      <c r="EZ722" s="58"/>
      <c r="FA722" s="58"/>
      <c r="FB722" s="58"/>
      <c r="FC722" s="58"/>
      <c r="FD722" s="58"/>
      <c r="FE722" s="58"/>
      <c r="FF722" s="58"/>
      <c r="FG722" s="58"/>
      <c r="FH722" s="58"/>
      <c r="FI722" s="58"/>
      <c r="FJ722" s="58"/>
      <c r="FK722" s="58"/>
      <c r="FL722" s="58"/>
      <c r="FM722" s="58"/>
    </row>
    <row r="723">
      <c r="ET723" s="58"/>
      <c r="EU723" s="58"/>
      <c r="EV723" s="58"/>
      <c r="EW723" s="58"/>
      <c r="EX723" s="58"/>
      <c r="EY723" s="58"/>
      <c r="EZ723" s="58"/>
      <c r="FA723" s="58"/>
      <c r="FB723" s="58"/>
      <c r="FC723" s="58"/>
      <c r="FD723" s="58"/>
      <c r="FE723" s="58"/>
      <c r="FF723" s="58"/>
      <c r="FG723" s="58"/>
      <c r="FH723" s="58"/>
      <c r="FI723" s="58"/>
      <c r="FJ723" s="58"/>
      <c r="FK723" s="58"/>
      <c r="FL723" s="58"/>
      <c r="FM723" s="58"/>
    </row>
    <row r="724">
      <c r="ET724" s="58"/>
      <c r="EU724" s="58"/>
      <c r="EV724" s="58"/>
      <c r="EW724" s="58"/>
      <c r="EX724" s="58"/>
      <c r="EY724" s="58"/>
      <c r="EZ724" s="58"/>
      <c r="FA724" s="58"/>
      <c r="FB724" s="58"/>
      <c r="FC724" s="58"/>
      <c r="FD724" s="58"/>
      <c r="FE724" s="58"/>
      <c r="FF724" s="58"/>
      <c r="FG724" s="58"/>
      <c r="FH724" s="58"/>
      <c r="FI724" s="58"/>
      <c r="FJ724" s="58"/>
      <c r="FK724" s="58"/>
      <c r="FL724" s="58"/>
      <c r="FM724" s="58"/>
    </row>
    <row r="725">
      <c r="ET725" s="58"/>
      <c r="EU725" s="58"/>
      <c r="EV725" s="58"/>
      <c r="EW725" s="58"/>
      <c r="EX725" s="58"/>
      <c r="EY725" s="58"/>
      <c r="EZ725" s="58"/>
      <c r="FA725" s="58"/>
      <c r="FB725" s="58"/>
      <c r="FC725" s="58"/>
      <c r="FD725" s="58"/>
      <c r="FE725" s="58"/>
      <c r="FF725" s="58"/>
      <c r="FG725" s="58"/>
      <c r="FH725" s="58"/>
      <c r="FI725" s="58"/>
      <c r="FJ725" s="58"/>
      <c r="FK725" s="58"/>
      <c r="FL725" s="58"/>
      <c r="FM725" s="58"/>
    </row>
    <row r="726">
      <c r="ET726" s="58"/>
      <c r="EU726" s="58"/>
      <c r="EV726" s="58"/>
      <c r="EW726" s="58"/>
      <c r="EX726" s="58"/>
      <c r="EY726" s="58"/>
      <c r="EZ726" s="58"/>
      <c r="FA726" s="58"/>
      <c r="FB726" s="58"/>
      <c r="FC726" s="58"/>
      <c r="FD726" s="58"/>
      <c r="FE726" s="58"/>
      <c r="FF726" s="58"/>
      <c r="FG726" s="58"/>
      <c r="FH726" s="58"/>
      <c r="FI726" s="58"/>
      <c r="FJ726" s="58"/>
      <c r="FK726" s="58"/>
      <c r="FL726" s="58"/>
      <c r="FM726" s="58"/>
    </row>
    <row r="727">
      <c r="ET727" s="58"/>
      <c r="EU727" s="58"/>
      <c r="EV727" s="58"/>
      <c r="EW727" s="58"/>
      <c r="EX727" s="58"/>
      <c r="EY727" s="58"/>
      <c r="EZ727" s="58"/>
      <c r="FA727" s="58"/>
      <c r="FB727" s="58"/>
      <c r="FC727" s="58"/>
      <c r="FD727" s="58"/>
      <c r="FE727" s="58"/>
      <c r="FF727" s="58"/>
      <c r="FG727" s="58"/>
      <c r="FH727" s="58"/>
      <c r="FI727" s="58"/>
      <c r="FJ727" s="58"/>
      <c r="FK727" s="58"/>
      <c r="FL727" s="58"/>
      <c r="FM727" s="58"/>
    </row>
    <row r="728">
      <c r="ET728" s="58"/>
      <c r="EU728" s="58"/>
      <c r="EV728" s="58"/>
      <c r="EW728" s="58"/>
      <c r="EX728" s="58"/>
      <c r="EY728" s="58"/>
      <c r="EZ728" s="58"/>
      <c r="FA728" s="58"/>
      <c r="FB728" s="58"/>
      <c r="FC728" s="58"/>
      <c r="FD728" s="58"/>
      <c r="FE728" s="58"/>
      <c r="FF728" s="58"/>
      <c r="FG728" s="58"/>
      <c r="FH728" s="58"/>
      <c r="FI728" s="58"/>
      <c r="FJ728" s="58"/>
      <c r="FK728" s="58"/>
      <c r="FL728" s="58"/>
      <c r="FM728" s="58"/>
    </row>
    <row r="729">
      <c r="ET729" s="58"/>
      <c r="EU729" s="58"/>
      <c r="EV729" s="58"/>
      <c r="EW729" s="58"/>
      <c r="EX729" s="58"/>
      <c r="EY729" s="58"/>
      <c r="EZ729" s="58"/>
      <c r="FA729" s="58"/>
      <c r="FB729" s="58"/>
      <c r="FC729" s="58"/>
      <c r="FD729" s="58"/>
      <c r="FE729" s="58"/>
      <c r="FF729" s="58"/>
      <c r="FG729" s="58"/>
      <c r="FH729" s="58"/>
      <c r="FI729" s="58"/>
      <c r="FJ729" s="58"/>
      <c r="FK729" s="58"/>
      <c r="FL729" s="58"/>
      <c r="FM729" s="58"/>
    </row>
    <row r="730">
      <c r="ET730" s="58"/>
      <c r="EU730" s="58"/>
      <c r="EV730" s="58"/>
      <c r="EW730" s="58"/>
      <c r="EX730" s="58"/>
      <c r="EY730" s="58"/>
      <c r="EZ730" s="58"/>
      <c r="FA730" s="58"/>
      <c r="FB730" s="58"/>
      <c r="FC730" s="58"/>
      <c r="FD730" s="58"/>
      <c r="FE730" s="58"/>
      <c r="FF730" s="58"/>
      <c r="FG730" s="58"/>
      <c r="FH730" s="58"/>
      <c r="FI730" s="58"/>
      <c r="FJ730" s="58"/>
      <c r="FK730" s="58"/>
      <c r="FL730" s="58"/>
      <c r="FM730" s="58"/>
    </row>
    <row r="731">
      <c r="ET731" s="58"/>
      <c r="EU731" s="58"/>
      <c r="EV731" s="58"/>
      <c r="EW731" s="58"/>
      <c r="EX731" s="58"/>
      <c r="EY731" s="58"/>
      <c r="EZ731" s="58"/>
      <c r="FA731" s="58"/>
      <c r="FB731" s="58"/>
      <c r="FC731" s="58"/>
      <c r="FD731" s="58"/>
      <c r="FE731" s="58"/>
      <c r="FF731" s="58"/>
      <c r="FG731" s="58"/>
      <c r="FH731" s="58"/>
      <c r="FI731" s="58"/>
      <c r="FJ731" s="58"/>
      <c r="FK731" s="58"/>
      <c r="FL731" s="58"/>
      <c r="FM731" s="58"/>
    </row>
    <row r="732">
      <c r="ET732" s="58"/>
      <c r="EU732" s="58"/>
      <c r="EV732" s="58"/>
      <c r="EW732" s="58"/>
      <c r="EX732" s="58"/>
      <c r="EY732" s="58"/>
      <c r="EZ732" s="58"/>
      <c r="FA732" s="58"/>
      <c r="FB732" s="58"/>
      <c r="FC732" s="58"/>
      <c r="FD732" s="58"/>
      <c r="FE732" s="58"/>
      <c r="FF732" s="58"/>
      <c r="FG732" s="58"/>
      <c r="FH732" s="58"/>
      <c r="FI732" s="58"/>
      <c r="FJ732" s="58"/>
      <c r="FK732" s="58"/>
      <c r="FL732" s="58"/>
      <c r="FM732" s="58"/>
    </row>
    <row r="733">
      <c r="ET733" s="58"/>
      <c r="EU733" s="58"/>
      <c r="EV733" s="58"/>
      <c r="EW733" s="58"/>
      <c r="EX733" s="58"/>
      <c r="EY733" s="58"/>
      <c r="EZ733" s="58"/>
      <c r="FA733" s="58"/>
      <c r="FB733" s="58"/>
      <c r="FC733" s="58"/>
      <c r="FD733" s="58"/>
      <c r="FE733" s="58"/>
      <c r="FF733" s="58"/>
      <c r="FG733" s="58"/>
      <c r="FH733" s="58"/>
      <c r="FI733" s="58"/>
      <c r="FJ733" s="58"/>
      <c r="FK733" s="58"/>
      <c r="FL733" s="58"/>
      <c r="FM733" s="58"/>
    </row>
    <row r="734">
      <c r="ET734" s="58"/>
      <c r="EU734" s="58"/>
      <c r="EV734" s="58"/>
      <c r="EW734" s="58"/>
      <c r="EX734" s="58"/>
      <c r="EY734" s="58"/>
      <c r="EZ734" s="58"/>
      <c r="FA734" s="58"/>
      <c r="FB734" s="58"/>
      <c r="FC734" s="58"/>
      <c r="FD734" s="58"/>
      <c r="FE734" s="58"/>
      <c r="FF734" s="58"/>
      <c r="FG734" s="58"/>
      <c r="FH734" s="58"/>
      <c r="FI734" s="58"/>
      <c r="FJ734" s="58"/>
      <c r="FK734" s="58"/>
      <c r="FL734" s="58"/>
      <c r="FM734" s="58"/>
    </row>
    <row r="735">
      <c r="ET735" s="58"/>
      <c r="EU735" s="58"/>
      <c r="EV735" s="58"/>
      <c r="EW735" s="58"/>
      <c r="EX735" s="58"/>
      <c r="EY735" s="58"/>
      <c r="EZ735" s="58"/>
      <c r="FA735" s="58"/>
      <c r="FB735" s="58"/>
      <c r="FC735" s="58"/>
      <c r="FD735" s="58"/>
      <c r="FE735" s="58"/>
      <c r="FF735" s="58"/>
      <c r="FG735" s="58"/>
      <c r="FH735" s="58"/>
      <c r="FI735" s="58"/>
      <c r="FJ735" s="58"/>
      <c r="FK735" s="58"/>
      <c r="FL735" s="58"/>
      <c r="FM735" s="58"/>
    </row>
    <row r="736">
      <c r="ET736" s="58"/>
      <c r="EU736" s="58"/>
      <c r="EV736" s="58"/>
      <c r="EW736" s="58"/>
      <c r="EX736" s="58"/>
      <c r="EY736" s="58"/>
      <c r="EZ736" s="58"/>
      <c r="FA736" s="58"/>
      <c r="FB736" s="58"/>
      <c r="FC736" s="58"/>
      <c r="FD736" s="58"/>
      <c r="FE736" s="58"/>
      <c r="FF736" s="58"/>
      <c r="FG736" s="58"/>
      <c r="FH736" s="58"/>
      <c r="FI736" s="58"/>
      <c r="FJ736" s="58"/>
      <c r="FK736" s="58"/>
      <c r="FL736" s="58"/>
      <c r="FM736" s="58"/>
    </row>
    <row r="737">
      <c r="ET737" s="58"/>
      <c r="EU737" s="58"/>
      <c r="EV737" s="58"/>
      <c r="EW737" s="58"/>
      <c r="EX737" s="58"/>
      <c r="EY737" s="58"/>
      <c r="EZ737" s="58"/>
      <c r="FA737" s="58"/>
      <c r="FB737" s="58"/>
      <c r="FC737" s="58"/>
      <c r="FD737" s="58"/>
      <c r="FE737" s="58"/>
      <c r="FF737" s="58"/>
      <c r="FG737" s="58"/>
      <c r="FH737" s="58"/>
      <c r="FI737" s="58"/>
      <c r="FJ737" s="58"/>
      <c r="FK737" s="58"/>
      <c r="FL737" s="58"/>
      <c r="FM737" s="58"/>
    </row>
    <row r="738">
      <c r="ET738" s="58"/>
      <c r="EU738" s="58"/>
      <c r="EV738" s="58"/>
      <c r="EW738" s="58"/>
      <c r="EX738" s="58"/>
      <c r="EY738" s="58"/>
      <c r="EZ738" s="58"/>
      <c r="FA738" s="58"/>
      <c r="FB738" s="58"/>
      <c r="FC738" s="58"/>
      <c r="FD738" s="58"/>
      <c r="FE738" s="58"/>
      <c r="FF738" s="58"/>
      <c r="FG738" s="58"/>
      <c r="FH738" s="58"/>
      <c r="FI738" s="58"/>
      <c r="FJ738" s="58"/>
      <c r="FK738" s="58"/>
      <c r="FL738" s="58"/>
      <c r="FM738" s="58"/>
    </row>
    <row r="739">
      <c r="ET739" s="58"/>
      <c r="EU739" s="58"/>
      <c r="EV739" s="58"/>
      <c r="EW739" s="58"/>
      <c r="EX739" s="58"/>
      <c r="EY739" s="58"/>
      <c r="EZ739" s="58"/>
      <c r="FA739" s="58"/>
      <c r="FB739" s="58"/>
      <c r="FC739" s="58"/>
      <c r="FD739" s="58"/>
      <c r="FE739" s="58"/>
      <c r="FF739" s="58"/>
      <c r="FG739" s="58"/>
      <c r="FH739" s="58"/>
      <c r="FI739" s="58"/>
      <c r="FJ739" s="58"/>
      <c r="FK739" s="58"/>
      <c r="FL739" s="58"/>
      <c r="FM739" s="58"/>
    </row>
    <row r="740">
      <c r="ET740" s="58"/>
      <c r="EU740" s="58"/>
      <c r="EV740" s="58"/>
      <c r="EW740" s="58"/>
      <c r="EX740" s="58"/>
      <c r="EY740" s="58"/>
      <c r="EZ740" s="58"/>
      <c r="FA740" s="58"/>
      <c r="FB740" s="58"/>
      <c r="FC740" s="58"/>
      <c r="FD740" s="58"/>
      <c r="FE740" s="58"/>
      <c r="FF740" s="58"/>
      <c r="FG740" s="58"/>
      <c r="FH740" s="58"/>
      <c r="FI740" s="58"/>
      <c r="FJ740" s="58"/>
      <c r="FK740" s="58"/>
      <c r="FL740" s="58"/>
      <c r="FM740" s="58"/>
    </row>
    <row r="741">
      <c r="ET741" s="58"/>
      <c r="EU741" s="58"/>
      <c r="EV741" s="58"/>
      <c r="EW741" s="58"/>
      <c r="EX741" s="58"/>
      <c r="EY741" s="58"/>
      <c r="EZ741" s="58"/>
      <c r="FA741" s="58"/>
      <c r="FB741" s="58"/>
      <c r="FC741" s="58"/>
      <c r="FD741" s="58"/>
      <c r="FE741" s="58"/>
      <c r="FF741" s="58"/>
      <c r="FG741" s="58"/>
      <c r="FH741" s="58"/>
      <c r="FI741" s="58"/>
      <c r="FJ741" s="58"/>
      <c r="FK741" s="58"/>
      <c r="FL741" s="58"/>
      <c r="FM741" s="58"/>
    </row>
    <row r="742">
      <c r="ET742" s="58"/>
      <c r="EU742" s="58"/>
      <c r="EV742" s="58"/>
      <c r="EW742" s="58"/>
      <c r="EX742" s="58"/>
      <c r="EY742" s="58"/>
      <c r="EZ742" s="58"/>
      <c r="FA742" s="58"/>
      <c r="FB742" s="58"/>
      <c r="FC742" s="58"/>
      <c r="FD742" s="58"/>
      <c r="FE742" s="58"/>
      <c r="FF742" s="58"/>
      <c r="FG742" s="58"/>
      <c r="FH742" s="58"/>
      <c r="FI742" s="58"/>
      <c r="FJ742" s="58"/>
      <c r="FK742" s="58"/>
      <c r="FL742" s="58"/>
      <c r="FM742" s="58"/>
    </row>
    <row r="743">
      <c r="ET743" s="58"/>
      <c r="EU743" s="58"/>
      <c r="EV743" s="58"/>
      <c r="EW743" s="58"/>
      <c r="EX743" s="58"/>
      <c r="EY743" s="58"/>
      <c r="EZ743" s="58"/>
      <c r="FA743" s="58"/>
      <c r="FB743" s="58"/>
      <c r="FC743" s="58"/>
      <c r="FD743" s="58"/>
      <c r="FE743" s="58"/>
      <c r="FF743" s="58"/>
      <c r="FG743" s="58"/>
      <c r="FH743" s="58"/>
      <c r="FI743" s="58"/>
      <c r="FJ743" s="58"/>
      <c r="FK743" s="58"/>
      <c r="FL743" s="58"/>
      <c r="FM743" s="58"/>
    </row>
    <row r="744">
      <c r="ET744" s="58"/>
      <c r="EU744" s="58"/>
      <c r="EV744" s="58"/>
      <c r="EW744" s="58"/>
      <c r="EX744" s="58"/>
      <c r="EY744" s="58"/>
      <c r="EZ744" s="58"/>
      <c r="FA744" s="58"/>
      <c r="FB744" s="58"/>
      <c r="FC744" s="58"/>
      <c r="FD744" s="58"/>
      <c r="FE744" s="58"/>
      <c r="FF744" s="58"/>
      <c r="FG744" s="58"/>
      <c r="FH744" s="58"/>
      <c r="FI744" s="58"/>
      <c r="FJ744" s="58"/>
      <c r="FK744" s="58"/>
      <c r="FL744" s="58"/>
      <c r="FM744" s="58"/>
    </row>
    <row r="745">
      <c r="ET745" s="58"/>
      <c r="EU745" s="58"/>
      <c r="EV745" s="58"/>
      <c r="EW745" s="58"/>
      <c r="EX745" s="58"/>
      <c r="EY745" s="58"/>
      <c r="EZ745" s="58"/>
      <c r="FA745" s="58"/>
      <c r="FB745" s="58"/>
      <c r="FC745" s="58"/>
      <c r="FD745" s="58"/>
      <c r="FE745" s="58"/>
      <c r="FF745" s="58"/>
      <c r="FG745" s="58"/>
      <c r="FH745" s="58"/>
      <c r="FI745" s="58"/>
      <c r="FJ745" s="58"/>
      <c r="FK745" s="58"/>
      <c r="FL745" s="58"/>
      <c r="FM745" s="58"/>
    </row>
    <row r="746">
      <c r="ET746" s="58"/>
      <c r="EU746" s="58"/>
      <c r="EV746" s="58"/>
      <c r="EW746" s="58"/>
      <c r="EX746" s="58"/>
      <c r="EY746" s="58"/>
      <c r="EZ746" s="58"/>
      <c r="FA746" s="58"/>
      <c r="FB746" s="58"/>
      <c r="FC746" s="58"/>
      <c r="FD746" s="58"/>
      <c r="FE746" s="58"/>
      <c r="FF746" s="58"/>
      <c r="FG746" s="58"/>
      <c r="FH746" s="58"/>
      <c r="FI746" s="58"/>
      <c r="FJ746" s="58"/>
      <c r="FK746" s="58"/>
      <c r="FL746" s="58"/>
      <c r="FM746" s="58"/>
    </row>
    <row r="747">
      <c r="ET747" s="58"/>
      <c r="EU747" s="58"/>
      <c r="EV747" s="58"/>
      <c r="EW747" s="58"/>
      <c r="EX747" s="58"/>
      <c r="EY747" s="58"/>
      <c r="EZ747" s="58"/>
      <c r="FA747" s="58"/>
      <c r="FB747" s="58"/>
      <c r="FC747" s="58"/>
      <c r="FD747" s="58"/>
      <c r="FE747" s="58"/>
      <c r="FF747" s="58"/>
      <c r="FG747" s="58"/>
      <c r="FH747" s="58"/>
      <c r="FI747" s="58"/>
      <c r="FJ747" s="58"/>
      <c r="FK747" s="58"/>
      <c r="FL747" s="58"/>
      <c r="FM747" s="58"/>
    </row>
    <row r="748">
      <c r="ET748" s="58"/>
      <c r="EU748" s="58"/>
      <c r="EV748" s="58"/>
      <c r="EW748" s="58"/>
      <c r="EX748" s="58"/>
      <c r="EY748" s="58"/>
      <c r="EZ748" s="58"/>
      <c r="FA748" s="58"/>
      <c r="FB748" s="58"/>
      <c r="FC748" s="58"/>
      <c r="FD748" s="58"/>
      <c r="FE748" s="58"/>
      <c r="FF748" s="58"/>
      <c r="FG748" s="58"/>
      <c r="FH748" s="58"/>
      <c r="FI748" s="58"/>
      <c r="FJ748" s="58"/>
      <c r="FK748" s="58"/>
      <c r="FL748" s="58"/>
      <c r="FM748" s="58"/>
    </row>
    <row r="749">
      <c r="ET749" s="58"/>
      <c r="EU749" s="58"/>
      <c r="EV749" s="58"/>
      <c r="EW749" s="58"/>
      <c r="EX749" s="58"/>
      <c r="EY749" s="58"/>
      <c r="EZ749" s="58"/>
      <c r="FA749" s="58"/>
      <c r="FB749" s="58"/>
      <c r="FC749" s="58"/>
      <c r="FD749" s="58"/>
      <c r="FE749" s="58"/>
      <c r="FF749" s="58"/>
      <c r="FG749" s="58"/>
      <c r="FH749" s="58"/>
      <c r="FI749" s="58"/>
      <c r="FJ749" s="58"/>
      <c r="FK749" s="58"/>
      <c r="FL749" s="58"/>
      <c r="FM749" s="58"/>
    </row>
    <row r="750">
      <c r="ET750" s="58"/>
      <c r="EU750" s="58"/>
      <c r="EV750" s="58"/>
      <c r="EW750" s="58"/>
      <c r="EX750" s="58"/>
      <c r="EY750" s="58"/>
      <c r="EZ750" s="58"/>
      <c r="FA750" s="58"/>
      <c r="FB750" s="58"/>
      <c r="FC750" s="58"/>
      <c r="FD750" s="58"/>
      <c r="FE750" s="58"/>
      <c r="FF750" s="58"/>
      <c r="FG750" s="58"/>
      <c r="FH750" s="58"/>
      <c r="FI750" s="58"/>
      <c r="FJ750" s="58"/>
      <c r="FK750" s="58"/>
      <c r="FL750" s="58"/>
      <c r="FM750" s="58"/>
    </row>
    <row r="751">
      <c r="ET751" s="58"/>
      <c r="EU751" s="58"/>
      <c r="EV751" s="58"/>
      <c r="EW751" s="58"/>
      <c r="EX751" s="58"/>
      <c r="EY751" s="58"/>
      <c r="EZ751" s="58"/>
      <c r="FA751" s="58"/>
      <c r="FB751" s="58"/>
      <c r="FC751" s="58"/>
      <c r="FD751" s="58"/>
      <c r="FE751" s="58"/>
      <c r="FF751" s="58"/>
      <c r="FG751" s="58"/>
      <c r="FH751" s="58"/>
      <c r="FI751" s="58"/>
      <c r="FJ751" s="58"/>
      <c r="FK751" s="58"/>
      <c r="FL751" s="58"/>
      <c r="FM751" s="58"/>
    </row>
    <row r="752">
      <c r="ET752" s="58"/>
      <c r="EU752" s="58"/>
      <c r="EV752" s="58"/>
      <c r="EW752" s="58"/>
      <c r="EX752" s="58"/>
      <c r="EY752" s="58"/>
      <c r="EZ752" s="58"/>
      <c r="FA752" s="58"/>
      <c r="FB752" s="58"/>
      <c r="FC752" s="58"/>
      <c r="FD752" s="58"/>
      <c r="FE752" s="58"/>
      <c r="FF752" s="58"/>
      <c r="FG752" s="58"/>
      <c r="FH752" s="58"/>
      <c r="FI752" s="58"/>
      <c r="FJ752" s="58"/>
      <c r="FK752" s="58"/>
      <c r="FL752" s="58"/>
      <c r="FM752" s="58"/>
    </row>
    <row r="753">
      <c r="ET753" s="58"/>
      <c r="EU753" s="58"/>
      <c r="EV753" s="58"/>
      <c r="EW753" s="58"/>
      <c r="EX753" s="58"/>
      <c r="EY753" s="58"/>
      <c r="EZ753" s="58"/>
      <c r="FA753" s="58"/>
      <c r="FB753" s="58"/>
      <c r="FC753" s="58"/>
      <c r="FD753" s="58"/>
      <c r="FE753" s="58"/>
      <c r="FF753" s="58"/>
      <c r="FG753" s="58"/>
      <c r="FH753" s="58"/>
      <c r="FI753" s="58"/>
      <c r="FJ753" s="58"/>
      <c r="FK753" s="58"/>
      <c r="FL753" s="58"/>
      <c r="FM753" s="58"/>
    </row>
    <row r="754">
      <c r="ET754" s="58"/>
      <c r="EU754" s="58"/>
      <c r="EV754" s="58"/>
      <c r="EW754" s="58"/>
      <c r="EX754" s="58"/>
      <c r="EY754" s="58"/>
      <c r="EZ754" s="58"/>
      <c r="FA754" s="58"/>
      <c r="FB754" s="58"/>
      <c r="FC754" s="58"/>
      <c r="FD754" s="58"/>
      <c r="FE754" s="58"/>
      <c r="FF754" s="58"/>
      <c r="FG754" s="58"/>
      <c r="FH754" s="58"/>
      <c r="FI754" s="58"/>
      <c r="FJ754" s="58"/>
      <c r="FK754" s="58"/>
      <c r="FL754" s="58"/>
      <c r="FM754" s="58"/>
    </row>
    <row r="755">
      <c r="ET755" s="58"/>
      <c r="EU755" s="58"/>
      <c r="EV755" s="58"/>
      <c r="EW755" s="58"/>
      <c r="EX755" s="58"/>
      <c r="EY755" s="58"/>
      <c r="EZ755" s="58"/>
      <c r="FA755" s="58"/>
      <c r="FB755" s="58"/>
      <c r="FC755" s="58"/>
      <c r="FD755" s="58"/>
      <c r="FE755" s="58"/>
      <c r="FF755" s="58"/>
      <c r="FG755" s="58"/>
      <c r="FH755" s="58"/>
      <c r="FI755" s="58"/>
      <c r="FJ755" s="58"/>
      <c r="FK755" s="58"/>
      <c r="FL755" s="58"/>
      <c r="FM755" s="58"/>
    </row>
    <row r="756">
      <c r="ET756" s="58"/>
      <c r="EU756" s="58"/>
      <c r="EV756" s="58"/>
      <c r="EW756" s="58"/>
      <c r="EX756" s="58"/>
      <c r="EY756" s="58"/>
      <c r="EZ756" s="58"/>
      <c r="FA756" s="58"/>
      <c r="FB756" s="58"/>
      <c r="FC756" s="58"/>
      <c r="FD756" s="58"/>
      <c r="FE756" s="58"/>
      <c r="FF756" s="58"/>
      <c r="FG756" s="58"/>
      <c r="FH756" s="58"/>
      <c r="FI756" s="58"/>
      <c r="FJ756" s="58"/>
      <c r="FK756" s="58"/>
      <c r="FL756" s="58"/>
      <c r="FM756" s="58"/>
    </row>
    <row r="757">
      <c r="ET757" s="58"/>
      <c r="EU757" s="58"/>
      <c r="EV757" s="58"/>
      <c r="EW757" s="58"/>
      <c r="EX757" s="58"/>
      <c r="EY757" s="58"/>
      <c r="EZ757" s="58"/>
      <c r="FA757" s="58"/>
      <c r="FB757" s="58"/>
      <c r="FC757" s="58"/>
      <c r="FD757" s="58"/>
      <c r="FE757" s="58"/>
      <c r="FF757" s="58"/>
      <c r="FG757" s="58"/>
      <c r="FH757" s="58"/>
      <c r="FI757" s="58"/>
      <c r="FJ757" s="58"/>
      <c r="FK757" s="58"/>
      <c r="FL757" s="58"/>
      <c r="FM757" s="58"/>
    </row>
    <row r="758">
      <c r="ET758" s="58"/>
      <c r="EU758" s="58"/>
      <c r="EV758" s="58"/>
      <c r="EW758" s="58"/>
      <c r="EX758" s="58"/>
      <c r="EY758" s="58"/>
      <c r="EZ758" s="58"/>
      <c r="FA758" s="58"/>
      <c r="FB758" s="58"/>
      <c r="FC758" s="58"/>
      <c r="FD758" s="58"/>
      <c r="FE758" s="58"/>
      <c r="FF758" s="58"/>
      <c r="FG758" s="58"/>
      <c r="FH758" s="58"/>
      <c r="FI758" s="58"/>
      <c r="FJ758" s="58"/>
      <c r="FK758" s="58"/>
      <c r="FL758" s="58"/>
      <c r="FM758" s="58"/>
    </row>
    <row r="759">
      <c r="ET759" s="58"/>
      <c r="EU759" s="58"/>
      <c r="EV759" s="58"/>
      <c r="EW759" s="58"/>
      <c r="EX759" s="58"/>
      <c r="EY759" s="58"/>
      <c r="EZ759" s="58"/>
      <c r="FA759" s="58"/>
      <c r="FB759" s="58"/>
      <c r="FC759" s="58"/>
      <c r="FD759" s="58"/>
      <c r="FE759" s="58"/>
      <c r="FF759" s="58"/>
      <c r="FG759" s="58"/>
      <c r="FH759" s="58"/>
      <c r="FI759" s="58"/>
      <c r="FJ759" s="58"/>
      <c r="FK759" s="58"/>
      <c r="FL759" s="58"/>
      <c r="FM759" s="58"/>
    </row>
    <row r="760">
      <c r="ET760" s="58"/>
      <c r="EU760" s="58"/>
      <c r="EV760" s="58"/>
      <c r="EW760" s="58"/>
      <c r="EX760" s="58"/>
      <c r="EY760" s="58"/>
      <c r="EZ760" s="58"/>
      <c r="FA760" s="58"/>
      <c r="FB760" s="58"/>
      <c r="FC760" s="58"/>
      <c r="FD760" s="58"/>
      <c r="FE760" s="58"/>
      <c r="FF760" s="58"/>
      <c r="FG760" s="58"/>
      <c r="FH760" s="58"/>
      <c r="FI760" s="58"/>
      <c r="FJ760" s="58"/>
      <c r="FK760" s="58"/>
      <c r="FL760" s="58"/>
      <c r="FM760" s="58"/>
    </row>
    <row r="761">
      <c r="ET761" s="58"/>
      <c r="EU761" s="58"/>
      <c r="EV761" s="58"/>
      <c r="EW761" s="58"/>
      <c r="EX761" s="58"/>
      <c r="EY761" s="58"/>
      <c r="EZ761" s="58"/>
      <c r="FA761" s="58"/>
      <c r="FB761" s="58"/>
      <c r="FC761" s="58"/>
      <c r="FD761" s="58"/>
      <c r="FE761" s="58"/>
      <c r="FF761" s="58"/>
      <c r="FG761" s="58"/>
      <c r="FH761" s="58"/>
      <c r="FI761" s="58"/>
      <c r="FJ761" s="58"/>
      <c r="FK761" s="58"/>
      <c r="FL761" s="58"/>
      <c r="FM761" s="58"/>
    </row>
    <row r="762">
      <c r="ET762" s="58"/>
      <c r="EU762" s="58"/>
      <c r="EV762" s="58"/>
      <c r="EW762" s="58"/>
      <c r="EX762" s="58"/>
      <c r="EY762" s="58"/>
      <c r="EZ762" s="58"/>
      <c r="FA762" s="58"/>
      <c r="FB762" s="58"/>
      <c r="FC762" s="58"/>
      <c r="FD762" s="58"/>
      <c r="FE762" s="58"/>
      <c r="FF762" s="58"/>
      <c r="FG762" s="58"/>
      <c r="FH762" s="58"/>
      <c r="FI762" s="58"/>
      <c r="FJ762" s="58"/>
      <c r="FK762" s="58"/>
      <c r="FL762" s="58"/>
      <c r="FM762" s="58"/>
    </row>
    <row r="763">
      <c r="ET763" s="58"/>
      <c r="EU763" s="58"/>
      <c r="EV763" s="58"/>
      <c r="EW763" s="58"/>
      <c r="EX763" s="58"/>
      <c r="EY763" s="58"/>
      <c r="EZ763" s="58"/>
      <c r="FA763" s="58"/>
      <c r="FB763" s="58"/>
      <c r="FC763" s="58"/>
      <c r="FD763" s="58"/>
      <c r="FE763" s="58"/>
      <c r="FF763" s="58"/>
      <c r="FG763" s="58"/>
      <c r="FH763" s="58"/>
      <c r="FI763" s="58"/>
      <c r="FJ763" s="58"/>
      <c r="FK763" s="58"/>
      <c r="FL763" s="58"/>
      <c r="FM763" s="58"/>
    </row>
    <row r="764">
      <c r="ET764" s="58"/>
      <c r="EU764" s="58"/>
      <c r="EV764" s="58"/>
      <c r="EW764" s="58"/>
      <c r="EX764" s="58"/>
      <c r="EY764" s="58"/>
      <c r="EZ764" s="58"/>
      <c r="FA764" s="58"/>
      <c r="FB764" s="58"/>
      <c r="FC764" s="58"/>
      <c r="FD764" s="58"/>
      <c r="FE764" s="58"/>
      <c r="FF764" s="58"/>
      <c r="FG764" s="58"/>
      <c r="FH764" s="58"/>
      <c r="FI764" s="58"/>
      <c r="FJ764" s="58"/>
      <c r="FK764" s="58"/>
      <c r="FL764" s="58"/>
      <c r="FM764" s="58"/>
    </row>
    <row r="765">
      <c r="ET765" s="58"/>
      <c r="EU765" s="58"/>
      <c r="EV765" s="58"/>
      <c r="EW765" s="58"/>
      <c r="EX765" s="58"/>
      <c r="EY765" s="58"/>
      <c r="EZ765" s="58"/>
      <c r="FA765" s="58"/>
      <c r="FB765" s="58"/>
      <c r="FC765" s="58"/>
      <c r="FD765" s="58"/>
      <c r="FE765" s="58"/>
      <c r="FF765" s="58"/>
      <c r="FG765" s="58"/>
      <c r="FH765" s="58"/>
      <c r="FI765" s="58"/>
      <c r="FJ765" s="58"/>
      <c r="FK765" s="58"/>
      <c r="FL765" s="58"/>
      <c r="FM765" s="58"/>
    </row>
    <row r="766">
      <c r="ET766" s="58"/>
      <c r="EU766" s="58"/>
      <c r="EV766" s="58"/>
      <c r="EW766" s="58"/>
      <c r="EX766" s="58"/>
      <c r="EY766" s="58"/>
      <c r="EZ766" s="58"/>
      <c r="FA766" s="58"/>
      <c r="FB766" s="58"/>
      <c r="FC766" s="58"/>
      <c r="FD766" s="58"/>
      <c r="FE766" s="58"/>
      <c r="FF766" s="58"/>
      <c r="FG766" s="58"/>
      <c r="FH766" s="58"/>
      <c r="FI766" s="58"/>
      <c r="FJ766" s="58"/>
      <c r="FK766" s="58"/>
      <c r="FL766" s="58"/>
      <c r="FM766" s="58"/>
    </row>
    <row r="767">
      <c r="ET767" s="58"/>
      <c r="EU767" s="58"/>
      <c r="EV767" s="58"/>
      <c r="EW767" s="58"/>
      <c r="EX767" s="58"/>
      <c r="EY767" s="58"/>
      <c r="EZ767" s="58"/>
      <c r="FA767" s="58"/>
      <c r="FB767" s="58"/>
      <c r="FC767" s="58"/>
      <c r="FD767" s="58"/>
      <c r="FE767" s="58"/>
      <c r="FF767" s="58"/>
      <c r="FG767" s="58"/>
      <c r="FH767" s="58"/>
      <c r="FI767" s="58"/>
      <c r="FJ767" s="58"/>
      <c r="FK767" s="58"/>
      <c r="FL767" s="58"/>
      <c r="FM767" s="58"/>
    </row>
    <row r="768">
      <c r="ET768" s="58"/>
      <c r="EU768" s="58"/>
      <c r="EV768" s="58"/>
      <c r="EW768" s="58"/>
      <c r="EX768" s="58"/>
      <c r="EY768" s="58"/>
      <c r="EZ768" s="58"/>
      <c r="FA768" s="58"/>
      <c r="FB768" s="58"/>
      <c r="FC768" s="58"/>
      <c r="FD768" s="58"/>
      <c r="FE768" s="58"/>
      <c r="FF768" s="58"/>
      <c r="FG768" s="58"/>
      <c r="FH768" s="58"/>
      <c r="FI768" s="58"/>
      <c r="FJ768" s="58"/>
      <c r="FK768" s="58"/>
      <c r="FL768" s="58"/>
      <c r="FM768" s="58"/>
    </row>
    <row r="769">
      <c r="ET769" s="58"/>
      <c r="EU769" s="58"/>
      <c r="EV769" s="58"/>
      <c r="EW769" s="58"/>
      <c r="EX769" s="58"/>
      <c r="EY769" s="58"/>
      <c r="EZ769" s="58"/>
      <c r="FA769" s="58"/>
      <c r="FB769" s="58"/>
      <c r="FC769" s="58"/>
      <c r="FD769" s="58"/>
      <c r="FE769" s="58"/>
      <c r="FF769" s="58"/>
      <c r="FG769" s="58"/>
      <c r="FH769" s="58"/>
      <c r="FI769" s="58"/>
      <c r="FJ769" s="58"/>
      <c r="FK769" s="58"/>
      <c r="FL769" s="58"/>
      <c r="FM769" s="58"/>
    </row>
    <row r="770">
      <c r="ET770" s="58"/>
      <c r="EU770" s="58"/>
      <c r="EV770" s="58"/>
      <c r="EW770" s="58"/>
      <c r="EX770" s="58"/>
      <c r="EY770" s="58"/>
      <c r="EZ770" s="58"/>
      <c r="FA770" s="58"/>
      <c r="FB770" s="58"/>
      <c r="FC770" s="58"/>
      <c r="FD770" s="58"/>
      <c r="FE770" s="58"/>
      <c r="FF770" s="58"/>
      <c r="FG770" s="58"/>
      <c r="FH770" s="58"/>
      <c r="FI770" s="58"/>
      <c r="FJ770" s="58"/>
      <c r="FK770" s="58"/>
      <c r="FL770" s="58"/>
      <c r="FM770" s="58"/>
    </row>
    <row r="771">
      <c r="ET771" s="58"/>
      <c r="EU771" s="58"/>
      <c r="EV771" s="58"/>
      <c r="EW771" s="58"/>
      <c r="EX771" s="58"/>
      <c r="EY771" s="58"/>
      <c r="EZ771" s="58"/>
      <c r="FA771" s="58"/>
      <c r="FB771" s="58"/>
      <c r="FC771" s="58"/>
      <c r="FD771" s="58"/>
      <c r="FE771" s="58"/>
      <c r="FF771" s="58"/>
      <c r="FG771" s="58"/>
      <c r="FH771" s="58"/>
      <c r="FI771" s="58"/>
      <c r="FJ771" s="58"/>
      <c r="FK771" s="58"/>
      <c r="FL771" s="58"/>
      <c r="FM771" s="58"/>
    </row>
    <row r="772">
      <c r="ET772" s="58"/>
      <c r="EU772" s="58"/>
      <c r="EV772" s="58"/>
      <c r="EW772" s="58"/>
      <c r="EX772" s="58"/>
      <c r="EY772" s="58"/>
      <c r="EZ772" s="58"/>
      <c r="FA772" s="58"/>
      <c r="FB772" s="58"/>
      <c r="FC772" s="58"/>
      <c r="FD772" s="58"/>
      <c r="FE772" s="58"/>
      <c r="FF772" s="58"/>
      <c r="FG772" s="58"/>
      <c r="FH772" s="58"/>
      <c r="FI772" s="58"/>
      <c r="FJ772" s="58"/>
      <c r="FK772" s="58"/>
      <c r="FL772" s="58"/>
      <c r="FM772" s="58"/>
    </row>
    <row r="773">
      <c r="ET773" s="58"/>
      <c r="EU773" s="58"/>
      <c r="EV773" s="58"/>
      <c r="EW773" s="58"/>
      <c r="EX773" s="58"/>
      <c r="EY773" s="58"/>
      <c r="EZ773" s="58"/>
      <c r="FA773" s="58"/>
      <c r="FB773" s="58"/>
      <c r="FC773" s="58"/>
      <c r="FD773" s="58"/>
      <c r="FE773" s="58"/>
      <c r="FF773" s="58"/>
      <c r="FG773" s="58"/>
      <c r="FH773" s="58"/>
      <c r="FI773" s="58"/>
      <c r="FJ773" s="58"/>
      <c r="FK773" s="58"/>
      <c r="FL773" s="58"/>
      <c r="FM773" s="58"/>
    </row>
    <row r="774">
      <c r="ET774" s="58"/>
      <c r="EU774" s="58"/>
      <c r="EV774" s="58"/>
      <c r="EW774" s="58"/>
      <c r="EX774" s="58"/>
      <c r="EY774" s="58"/>
      <c r="EZ774" s="58"/>
      <c r="FA774" s="58"/>
      <c r="FB774" s="58"/>
      <c r="FC774" s="58"/>
      <c r="FD774" s="58"/>
      <c r="FE774" s="58"/>
      <c r="FF774" s="58"/>
      <c r="FG774" s="58"/>
      <c r="FH774" s="58"/>
      <c r="FI774" s="58"/>
      <c r="FJ774" s="58"/>
      <c r="FK774" s="58"/>
      <c r="FL774" s="58"/>
      <c r="FM774" s="58"/>
    </row>
    <row r="775">
      <c r="ET775" s="58"/>
      <c r="EU775" s="58"/>
      <c r="EV775" s="58"/>
      <c r="EW775" s="58"/>
      <c r="EX775" s="58"/>
      <c r="EY775" s="58"/>
      <c r="EZ775" s="58"/>
      <c r="FA775" s="58"/>
      <c r="FB775" s="58"/>
      <c r="FC775" s="58"/>
      <c r="FD775" s="58"/>
      <c r="FE775" s="58"/>
      <c r="FF775" s="58"/>
      <c r="FG775" s="58"/>
      <c r="FH775" s="58"/>
      <c r="FI775" s="58"/>
      <c r="FJ775" s="58"/>
      <c r="FK775" s="58"/>
      <c r="FL775" s="58"/>
      <c r="FM775" s="58"/>
    </row>
    <row r="776">
      <c r="ET776" s="58"/>
      <c r="EU776" s="58"/>
      <c r="EV776" s="58"/>
      <c r="EW776" s="58"/>
      <c r="EX776" s="58"/>
      <c r="EY776" s="58"/>
      <c r="EZ776" s="58"/>
      <c r="FA776" s="58"/>
      <c r="FB776" s="58"/>
      <c r="FC776" s="58"/>
      <c r="FD776" s="58"/>
      <c r="FE776" s="58"/>
      <c r="FF776" s="58"/>
      <c r="FG776" s="58"/>
      <c r="FH776" s="58"/>
      <c r="FI776" s="58"/>
      <c r="FJ776" s="58"/>
      <c r="FK776" s="58"/>
      <c r="FL776" s="58"/>
      <c r="FM776" s="58"/>
    </row>
    <row r="777">
      <c r="ET777" s="58"/>
      <c r="EU777" s="58"/>
      <c r="EV777" s="58"/>
      <c r="EW777" s="58"/>
      <c r="EX777" s="58"/>
      <c r="EY777" s="58"/>
      <c r="EZ777" s="58"/>
      <c r="FA777" s="58"/>
      <c r="FB777" s="58"/>
      <c r="FC777" s="58"/>
      <c r="FD777" s="58"/>
      <c r="FE777" s="58"/>
      <c r="FF777" s="58"/>
      <c r="FG777" s="58"/>
      <c r="FH777" s="58"/>
      <c r="FI777" s="58"/>
      <c r="FJ777" s="58"/>
      <c r="FK777" s="58"/>
      <c r="FL777" s="58"/>
      <c r="FM777" s="58"/>
    </row>
    <row r="778">
      <c r="ET778" s="58"/>
      <c r="EU778" s="58"/>
      <c r="EV778" s="58"/>
      <c r="EW778" s="58"/>
      <c r="EX778" s="58"/>
      <c r="EY778" s="58"/>
      <c r="EZ778" s="58"/>
      <c r="FA778" s="58"/>
      <c r="FB778" s="58"/>
      <c r="FC778" s="58"/>
      <c r="FD778" s="58"/>
      <c r="FE778" s="58"/>
      <c r="FF778" s="58"/>
      <c r="FG778" s="58"/>
      <c r="FH778" s="58"/>
      <c r="FI778" s="58"/>
      <c r="FJ778" s="58"/>
      <c r="FK778" s="58"/>
      <c r="FL778" s="58"/>
      <c r="FM778" s="58"/>
    </row>
    <row r="779">
      <c r="ET779" s="58"/>
      <c r="EU779" s="58"/>
      <c r="EV779" s="58"/>
      <c r="EW779" s="58"/>
      <c r="EX779" s="58"/>
      <c r="EY779" s="58"/>
      <c r="EZ779" s="58"/>
      <c r="FA779" s="58"/>
      <c r="FB779" s="58"/>
      <c r="FC779" s="58"/>
      <c r="FD779" s="58"/>
      <c r="FE779" s="58"/>
      <c r="FF779" s="58"/>
      <c r="FG779" s="58"/>
      <c r="FH779" s="58"/>
      <c r="FI779" s="58"/>
      <c r="FJ779" s="58"/>
      <c r="FK779" s="58"/>
      <c r="FL779" s="58"/>
      <c r="FM779" s="58"/>
    </row>
    <row r="780">
      <c r="ET780" s="58"/>
      <c r="EU780" s="58"/>
      <c r="EV780" s="58"/>
      <c r="EW780" s="58"/>
      <c r="EX780" s="58"/>
      <c r="EY780" s="58"/>
      <c r="EZ780" s="58"/>
      <c r="FA780" s="58"/>
      <c r="FB780" s="58"/>
      <c r="FC780" s="58"/>
      <c r="FD780" s="58"/>
      <c r="FE780" s="58"/>
      <c r="FF780" s="58"/>
      <c r="FG780" s="58"/>
      <c r="FH780" s="58"/>
      <c r="FI780" s="58"/>
      <c r="FJ780" s="58"/>
      <c r="FK780" s="58"/>
      <c r="FL780" s="58"/>
      <c r="FM780" s="58"/>
    </row>
    <row r="781">
      <c r="ET781" s="58"/>
      <c r="EU781" s="58"/>
      <c r="EV781" s="58"/>
      <c r="EW781" s="58"/>
      <c r="EX781" s="58"/>
      <c r="EY781" s="58"/>
      <c r="EZ781" s="58"/>
      <c r="FA781" s="58"/>
      <c r="FB781" s="58"/>
      <c r="FC781" s="58"/>
      <c r="FD781" s="58"/>
      <c r="FE781" s="58"/>
      <c r="FF781" s="58"/>
      <c r="FG781" s="58"/>
      <c r="FH781" s="58"/>
      <c r="FI781" s="58"/>
      <c r="FJ781" s="58"/>
      <c r="FK781" s="58"/>
      <c r="FL781" s="58"/>
      <c r="FM781" s="58"/>
    </row>
    <row r="782">
      <c r="ET782" s="58"/>
      <c r="EU782" s="58"/>
      <c r="EV782" s="58"/>
      <c r="EW782" s="58"/>
      <c r="EX782" s="58"/>
      <c r="EY782" s="58"/>
      <c r="EZ782" s="58"/>
      <c r="FA782" s="58"/>
      <c r="FB782" s="58"/>
      <c r="FC782" s="58"/>
      <c r="FD782" s="58"/>
      <c r="FE782" s="58"/>
      <c r="FF782" s="58"/>
      <c r="FG782" s="58"/>
      <c r="FH782" s="58"/>
      <c r="FI782" s="58"/>
      <c r="FJ782" s="58"/>
      <c r="FK782" s="58"/>
      <c r="FL782" s="58"/>
      <c r="FM782" s="58"/>
    </row>
    <row r="783">
      <c r="ET783" s="58"/>
      <c r="EU783" s="58"/>
      <c r="EV783" s="58"/>
      <c r="EW783" s="58"/>
      <c r="EX783" s="58"/>
      <c r="EY783" s="58"/>
      <c r="EZ783" s="58"/>
      <c r="FA783" s="58"/>
      <c r="FB783" s="58"/>
      <c r="FC783" s="58"/>
      <c r="FD783" s="58"/>
      <c r="FE783" s="58"/>
      <c r="FF783" s="58"/>
      <c r="FG783" s="58"/>
      <c r="FH783" s="58"/>
      <c r="FI783" s="58"/>
      <c r="FJ783" s="58"/>
      <c r="FK783" s="58"/>
      <c r="FL783" s="58"/>
      <c r="FM783" s="58"/>
    </row>
    <row r="784">
      <c r="ET784" s="58"/>
      <c r="EU784" s="58"/>
      <c r="EV784" s="58"/>
      <c r="EW784" s="58"/>
      <c r="EX784" s="58"/>
      <c r="EY784" s="58"/>
      <c r="EZ784" s="58"/>
      <c r="FA784" s="58"/>
      <c r="FB784" s="58"/>
      <c r="FC784" s="58"/>
      <c r="FD784" s="58"/>
      <c r="FE784" s="58"/>
      <c r="FF784" s="58"/>
      <c r="FG784" s="58"/>
      <c r="FH784" s="58"/>
      <c r="FI784" s="58"/>
      <c r="FJ784" s="58"/>
      <c r="FK784" s="58"/>
      <c r="FL784" s="58"/>
      <c r="FM784" s="58"/>
    </row>
    <row r="785">
      <c r="ET785" s="58"/>
      <c r="EU785" s="58"/>
      <c r="EV785" s="58"/>
      <c r="EW785" s="58"/>
      <c r="EX785" s="58"/>
      <c r="EY785" s="58"/>
      <c r="EZ785" s="58"/>
      <c r="FA785" s="58"/>
      <c r="FB785" s="58"/>
      <c r="FC785" s="58"/>
      <c r="FD785" s="58"/>
      <c r="FE785" s="58"/>
      <c r="FF785" s="58"/>
      <c r="FG785" s="58"/>
      <c r="FH785" s="58"/>
      <c r="FI785" s="58"/>
      <c r="FJ785" s="58"/>
      <c r="FK785" s="58"/>
      <c r="FL785" s="58"/>
      <c r="FM785" s="58"/>
    </row>
    <row r="786">
      <c r="ET786" s="58"/>
      <c r="EU786" s="58"/>
      <c r="EV786" s="58"/>
      <c r="EW786" s="58"/>
      <c r="EX786" s="58"/>
      <c r="EY786" s="58"/>
      <c r="EZ786" s="58"/>
      <c r="FA786" s="58"/>
      <c r="FB786" s="58"/>
      <c r="FC786" s="58"/>
      <c r="FD786" s="58"/>
      <c r="FE786" s="58"/>
      <c r="FF786" s="58"/>
      <c r="FG786" s="58"/>
      <c r="FH786" s="58"/>
      <c r="FI786" s="58"/>
      <c r="FJ786" s="58"/>
      <c r="FK786" s="58"/>
      <c r="FL786" s="58"/>
      <c r="FM786" s="58"/>
    </row>
    <row r="787">
      <c r="ET787" s="58"/>
      <c r="EU787" s="58"/>
      <c r="EV787" s="58"/>
      <c r="EW787" s="58"/>
      <c r="EX787" s="58"/>
      <c r="EY787" s="58"/>
      <c r="EZ787" s="58"/>
      <c r="FA787" s="58"/>
      <c r="FB787" s="58"/>
      <c r="FC787" s="58"/>
      <c r="FD787" s="58"/>
      <c r="FE787" s="58"/>
      <c r="FF787" s="58"/>
      <c r="FG787" s="58"/>
      <c r="FH787" s="58"/>
      <c r="FI787" s="58"/>
      <c r="FJ787" s="58"/>
      <c r="FK787" s="58"/>
      <c r="FL787" s="58"/>
      <c r="FM787" s="58"/>
    </row>
    <row r="788">
      <c r="ET788" s="58"/>
      <c r="EU788" s="58"/>
      <c r="EV788" s="58"/>
      <c r="EW788" s="58"/>
      <c r="EX788" s="58"/>
      <c r="EY788" s="58"/>
      <c r="EZ788" s="58"/>
      <c r="FA788" s="58"/>
      <c r="FB788" s="58"/>
      <c r="FC788" s="58"/>
      <c r="FD788" s="58"/>
      <c r="FE788" s="58"/>
      <c r="FF788" s="58"/>
      <c r="FG788" s="58"/>
      <c r="FH788" s="58"/>
      <c r="FI788" s="58"/>
      <c r="FJ788" s="58"/>
      <c r="FK788" s="58"/>
      <c r="FL788" s="58"/>
      <c r="FM788" s="58"/>
    </row>
    <row r="789">
      <c r="ET789" s="58"/>
      <c r="EU789" s="58"/>
      <c r="EV789" s="58"/>
      <c r="EW789" s="58"/>
      <c r="EX789" s="58"/>
      <c r="EY789" s="58"/>
      <c r="EZ789" s="58"/>
      <c r="FA789" s="58"/>
      <c r="FB789" s="58"/>
      <c r="FC789" s="58"/>
      <c r="FD789" s="58"/>
      <c r="FE789" s="58"/>
      <c r="FF789" s="58"/>
      <c r="FG789" s="58"/>
      <c r="FH789" s="58"/>
      <c r="FI789" s="58"/>
      <c r="FJ789" s="58"/>
      <c r="FK789" s="58"/>
      <c r="FL789" s="58"/>
      <c r="FM789" s="58"/>
    </row>
    <row r="790">
      <c r="ET790" s="58"/>
      <c r="EU790" s="58"/>
      <c r="EV790" s="58"/>
      <c r="EW790" s="58"/>
      <c r="EX790" s="58"/>
      <c r="EY790" s="58"/>
      <c r="EZ790" s="58"/>
      <c r="FA790" s="58"/>
      <c r="FB790" s="58"/>
      <c r="FC790" s="58"/>
      <c r="FD790" s="58"/>
      <c r="FE790" s="58"/>
      <c r="FF790" s="58"/>
      <c r="FG790" s="58"/>
      <c r="FH790" s="58"/>
      <c r="FI790" s="58"/>
      <c r="FJ790" s="58"/>
      <c r="FK790" s="58"/>
      <c r="FL790" s="58"/>
      <c r="FM790" s="58"/>
    </row>
    <row r="791">
      <c r="ET791" s="58"/>
      <c r="EU791" s="58"/>
      <c r="EV791" s="58"/>
      <c r="EW791" s="58"/>
      <c r="EX791" s="58"/>
      <c r="EY791" s="58"/>
      <c r="EZ791" s="58"/>
      <c r="FA791" s="58"/>
      <c r="FB791" s="58"/>
      <c r="FC791" s="58"/>
      <c r="FD791" s="58"/>
      <c r="FE791" s="58"/>
      <c r="FF791" s="58"/>
      <c r="FG791" s="58"/>
      <c r="FH791" s="58"/>
      <c r="FI791" s="58"/>
      <c r="FJ791" s="58"/>
      <c r="FK791" s="58"/>
      <c r="FL791" s="58"/>
      <c r="FM791" s="58"/>
    </row>
    <row r="792">
      <c r="ET792" s="58"/>
      <c r="EU792" s="58"/>
      <c r="EV792" s="58"/>
      <c r="EW792" s="58"/>
      <c r="EX792" s="58"/>
      <c r="EY792" s="58"/>
      <c r="EZ792" s="58"/>
      <c r="FA792" s="58"/>
      <c r="FB792" s="58"/>
      <c r="FC792" s="58"/>
      <c r="FD792" s="58"/>
      <c r="FE792" s="58"/>
      <c r="FF792" s="58"/>
      <c r="FG792" s="58"/>
      <c r="FH792" s="58"/>
      <c r="FI792" s="58"/>
      <c r="FJ792" s="58"/>
      <c r="FK792" s="58"/>
      <c r="FL792" s="58"/>
      <c r="FM792" s="58"/>
    </row>
    <row r="793">
      <c r="ET793" s="58"/>
      <c r="EU793" s="58"/>
      <c r="EV793" s="58"/>
      <c r="EW793" s="58"/>
      <c r="EX793" s="58"/>
      <c r="EY793" s="58"/>
      <c r="EZ793" s="58"/>
      <c r="FA793" s="58"/>
      <c r="FB793" s="58"/>
      <c r="FC793" s="58"/>
      <c r="FD793" s="58"/>
      <c r="FE793" s="58"/>
      <c r="FF793" s="58"/>
      <c r="FG793" s="58"/>
      <c r="FH793" s="58"/>
      <c r="FI793" s="58"/>
      <c r="FJ793" s="58"/>
      <c r="FK793" s="58"/>
      <c r="FL793" s="58"/>
      <c r="FM793" s="58"/>
    </row>
    <row r="794">
      <c r="ET794" s="58"/>
      <c r="EU794" s="58"/>
      <c r="EV794" s="58"/>
      <c r="EW794" s="58"/>
      <c r="EX794" s="58"/>
      <c r="EY794" s="58"/>
      <c r="EZ794" s="58"/>
      <c r="FA794" s="58"/>
      <c r="FB794" s="58"/>
      <c r="FC794" s="58"/>
      <c r="FD794" s="58"/>
      <c r="FE794" s="58"/>
      <c r="FF794" s="58"/>
      <c r="FG794" s="58"/>
      <c r="FH794" s="58"/>
      <c r="FI794" s="58"/>
      <c r="FJ794" s="58"/>
      <c r="FK794" s="58"/>
      <c r="FL794" s="58"/>
      <c r="FM794" s="58"/>
    </row>
    <row r="795">
      <c r="ET795" s="58"/>
      <c r="EU795" s="58"/>
      <c r="EV795" s="58"/>
      <c r="EW795" s="58"/>
      <c r="EX795" s="58"/>
      <c r="EY795" s="58"/>
      <c r="EZ795" s="58"/>
      <c r="FA795" s="58"/>
      <c r="FB795" s="58"/>
      <c r="FC795" s="58"/>
      <c r="FD795" s="58"/>
      <c r="FE795" s="58"/>
      <c r="FF795" s="58"/>
      <c r="FG795" s="58"/>
      <c r="FH795" s="58"/>
      <c r="FI795" s="58"/>
      <c r="FJ795" s="58"/>
      <c r="FK795" s="58"/>
      <c r="FL795" s="58"/>
      <c r="FM795" s="58"/>
    </row>
    <row r="796">
      <c r="ET796" s="58"/>
      <c r="EU796" s="58"/>
      <c r="EV796" s="58"/>
      <c r="EW796" s="58"/>
      <c r="EX796" s="58"/>
      <c r="EY796" s="58"/>
      <c r="EZ796" s="58"/>
      <c r="FA796" s="58"/>
      <c r="FB796" s="58"/>
      <c r="FC796" s="58"/>
      <c r="FD796" s="58"/>
      <c r="FE796" s="58"/>
      <c r="FF796" s="58"/>
      <c r="FG796" s="58"/>
      <c r="FH796" s="58"/>
      <c r="FI796" s="58"/>
      <c r="FJ796" s="58"/>
      <c r="FK796" s="58"/>
      <c r="FL796" s="58"/>
      <c r="FM796" s="58"/>
    </row>
    <row r="797">
      <c r="ET797" s="58"/>
      <c r="EU797" s="58"/>
      <c r="EV797" s="58"/>
      <c r="EW797" s="58"/>
      <c r="EX797" s="58"/>
      <c r="EY797" s="58"/>
      <c r="EZ797" s="58"/>
      <c r="FA797" s="58"/>
      <c r="FB797" s="58"/>
      <c r="FC797" s="58"/>
      <c r="FD797" s="58"/>
      <c r="FE797" s="58"/>
      <c r="FF797" s="58"/>
      <c r="FG797" s="58"/>
      <c r="FH797" s="58"/>
      <c r="FI797" s="58"/>
      <c r="FJ797" s="58"/>
      <c r="FK797" s="58"/>
      <c r="FL797" s="58"/>
      <c r="FM797" s="58"/>
    </row>
    <row r="798">
      <c r="ET798" s="58"/>
      <c r="EU798" s="58"/>
      <c r="EV798" s="58"/>
      <c r="EW798" s="58"/>
      <c r="EX798" s="58"/>
      <c r="EY798" s="58"/>
      <c r="EZ798" s="58"/>
      <c r="FA798" s="58"/>
      <c r="FB798" s="58"/>
      <c r="FC798" s="58"/>
      <c r="FD798" s="58"/>
      <c r="FE798" s="58"/>
      <c r="FF798" s="58"/>
      <c r="FG798" s="58"/>
      <c r="FH798" s="58"/>
      <c r="FI798" s="58"/>
      <c r="FJ798" s="58"/>
      <c r="FK798" s="58"/>
      <c r="FL798" s="58"/>
      <c r="FM798" s="58"/>
    </row>
    <row r="799">
      <c r="ET799" s="58"/>
      <c r="EU799" s="58"/>
      <c r="EV799" s="58"/>
      <c r="EW799" s="58"/>
      <c r="EX799" s="58"/>
      <c r="EY799" s="58"/>
      <c r="EZ799" s="58"/>
      <c r="FA799" s="58"/>
      <c r="FB799" s="58"/>
      <c r="FC799" s="58"/>
      <c r="FD799" s="58"/>
      <c r="FE799" s="58"/>
      <c r="FF799" s="58"/>
      <c r="FG799" s="58"/>
      <c r="FH799" s="58"/>
      <c r="FI799" s="58"/>
      <c r="FJ799" s="58"/>
      <c r="FK799" s="58"/>
      <c r="FL799" s="58"/>
      <c r="FM799" s="58"/>
    </row>
    <row r="800">
      <c r="ET800" s="58"/>
      <c r="EU800" s="58"/>
      <c r="EV800" s="58"/>
      <c r="EW800" s="58"/>
      <c r="EX800" s="58"/>
      <c r="EY800" s="58"/>
      <c r="EZ800" s="58"/>
      <c r="FA800" s="58"/>
      <c r="FB800" s="58"/>
      <c r="FC800" s="58"/>
      <c r="FD800" s="58"/>
      <c r="FE800" s="58"/>
      <c r="FF800" s="58"/>
      <c r="FG800" s="58"/>
      <c r="FH800" s="58"/>
      <c r="FI800" s="58"/>
      <c r="FJ800" s="58"/>
      <c r="FK800" s="58"/>
      <c r="FL800" s="58"/>
      <c r="FM800" s="58"/>
    </row>
    <row r="801">
      <c r="ET801" s="58"/>
      <c r="EU801" s="58"/>
      <c r="EV801" s="58"/>
      <c r="EW801" s="58"/>
      <c r="EX801" s="58"/>
      <c r="EY801" s="58"/>
      <c r="EZ801" s="58"/>
      <c r="FA801" s="58"/>
      <c r="FB801" s="58"/>
      <c r="FC801" s="58"/>
      <c r="FD801" s="58"/>
      <c r="FE801" s="58"/>
      <c r="FF801" s="58"/>
      <c r="FG801" s="58"/>
      <c r="FH801" s="58"/>
      <c r="FI801" s="58"/>
      <c r="FJ801" s="58"/>
      <c r="FK801" s="58"/>
      <c r="FL801" s="58"/>
      <c r="FM801" s="58"/>
    </row>
    <row r="802">
      <c r="ET802" s="58"/>
      <c r="EU802" s="58"/>
      <c r="EV802" s="58"/>
      <c r="EW802" s="58"/>
      <c r="EX802" s="58"/>
      <c r="EY802" s="58"/>
      <c r="EZ802" s="58"/>
      <c r="FA802" s="58"/>
      <c r="FB802" s="58"/>
      <c r="FC802" s="58"/>
      <c r="FD802" s="58"/>
      <c r="FE802" s="58"/>
      <c r="FF802" s="58"/>
      <c r="FG802" s="58"/>
      <c r="FH802" s="58"/>
      <c r="FI802" s="58"/>
      <c r="FJ802" s="58"/>
      <c r="FK802" s="58"/>
      <c r="FL802" s="58"/>
      <c r="FM802" s="58"/>
    </row>
    <row r="803">
      <c r="ET803" s="58"/>
      <c r="EU803" s="58"/>
      <c r="EV803" s="58"/>
      <c r="EW803" s="58"/>
      <c r="EX803" s="58"/>
      <c r="EY803" s="58"/>
      <c r="EZ803" s="58"/>
      <c r="FA803" s="58"/>
      <c r="FB803" s="58"/>
      <c r="FC803" s="58"/>
      <c r="FD803" s="58"/>
      <c r="FE803" s="58"/>
      <c r="FF803" s="58"/>
      <c r="FG803" s="58"/>
      <c r="FH803" s="58"/>
      <c r="FI803" s="58"/>
      <c r="FJ803" s="58"/>
      <c r="FK803" s="58"/>
      <c r="FL803" s="58"/>
      <c r="FM803" s="58"/>
    </row>
    <row r="804">
      <c r="ET804" s="58"/>
      <c r="EU804" s="58"/>
      <c r="EV804" s="58"/>
      <c r="EW804" s="58"/>
      <c r="EX804" s="58"/>
      <c r="EY804" s="58"/>
      <c r="EZ804" s="58"/>
      <c r="FA804" s="58"/>
      <c r="FB804" s="58"/>
      <c r="FC804" s="58"/>
      <c r="FD804" s="58"/>
      <c r="FE804" s="58"/>
      <c r="FF804" s="58"/>
      <c r="FG804" s="58"/>
      <c r="FH804" s="58"/>
      <c r="FI804" s="58"/>
      <c r="FJ804" s="58"/>
      <c r="FK804" s="58"/>
      <c r="FL804" s="58"/>
      <c r="FM804" s="58"/>
    </row>
    <row r="805">
      <c r="ET805" s="58"/>
      <c r="EU805" s="58"/>
      <c r="EV805" s="58"/>
      <c r="EW805" s="58"/>
      <c r="EX805" s="58"/>
      <c r="EY805" s="58"/>
      <c r="EZ805" s="58"/>
      <c r="FA805" s="58"/>
      <c r="FB805" s="58"/>
      <c r="FC805" s="58"/>
      <c r="FD805" s="58"/>
      <c r="FE805" s="58"/>
      <c r="FF805" s="58"/>
      <c r="FG805" s="58"/>
      <c r="FH805" s="58"/>
      <c r="FI805" s="58"/>
      <c r="FJ805" s="58"/>
      <c r="FK805" s="58"/>
      <c r="FL805" s="58"/>
      <c r="FM805" s="58"/>
    </row>
    <row r="806">
      <c r="ET806" s="58"/>
      <c r="EU806" s="58"/>
      <c r="EV806" s="58"/>
      <c r="EW806" s="58"/>
      <c r="EX806" s="58"/>
      <c r="EY806" s="58"/>
      <c r="EZ806" s="58"/>
      <c r="FA806" s="58"/>
      <c r="FB806" s="58"/>
      <c r="FC806" s="58"/>
      <c r="FD806" s="58"/>
      <c r="FE806" s="58"/>
      <c r="FF806" s="58"/>
      <c r="FG806" s="58"/>
      <c r="FH806" s="58"/>
      <c r="FI806" s="58"/>
      <c r="FJ806" s="58"/>
      <c r="FK806" s="58"/>
      <c r="FL806" s="58"/>
      <c r="FM806" s="58"/>
    </row>
    <row r="807">
      <c r="ET807" s="58"/>
      <c r="EU807" s="58"/>
      <c r="EV807" s="58"/>
      <c r="EW807" s="58"/>
      <c r="EX807" s="58"/>
      <c r="EY807" s="58"/>
      <c r="EZ807" s="58"/>
      <c r="FA807" s="58"/>
      <c r="FB807" s="58"/>
      <c r="FC807" s="58"/>
      <c r="FD807" s="58"/>
      <c r="FE807" s="58"/>
      <c r="FF807" s="58"/>
      <c r="FG807" s="58"/>
      <c r="FH807" s="58"/>
      <c r="FI807" s="58"/>
      <c r="FJ807" s="58"/>
      <c r="FK807" s="58"/>
      <c r="FL807" s="58"/>
      <c r="FM807" s="58"/>
    </row>
    <row r="808">
      <c r="ET808" s="58"/>
      <c r="EU808" s="58"/>
      <c r="EV808" s="58"/>
      <c r="EW808" s="58"/>
      <c r="EX808" s="58"/>
      <c r="EY808" s="58"/>
      <c r="EZ808" s="58"/>
      <c r="FA808" s="58"/>
      <c r="FB808" s="58"/>
      <c r="FC808" s="58"/>
      <c r="FD808" s="58"/>
      <c r="FE808" s="58"/>
      <c r="FF808" s="58"/>
      <c r="FG808" s="58"/>
      <c r="FH808" s="58"/>
      <c r="FI808" s="58"/>
      <c r="FJ808" s="58"/>
      <c r="FK808" s="58"/>
      <c r="FL808" s="58"/>
      <c r="FM808" s="58"/>
    </row>
    <row r="809">
      <c r="ET809" s="58"/>
      <c r="EU809" s="58"/>
      <c r="EV809" s="58"/>
      <c r="EW809" s="58"/>
      <c r="EX809" s="58"/>
      <c r="EY809" s="58"/>
      <c r="EZ809" s="58"/>
      <c r="FA809" s="58"/>
      <c r="FB809" s="58"/>
      <c r="FC809" s="58"/>
      <c r="FD809" s="58"/>
      <c r="FE809" s="58"/>
      <c r="FF809" s="58"/>
      <c r="FG809" s="58"/>
      <c r="FH809" s="58"/>
      <c r="FI809" s="58"/>
      <c r="FJ809" s="58"/>
      <c r="FK809" s="58"/>
      <c r="FL809" s="58"/>
      <c r="FM809" s="58"/>
    </row>
    <row r="810">
      <c r="ET810" s="58"/>
      <c r="EU810" s="58"/>
      <c r="EV810" s="58"/>
      <c r="EW810" s="58"/>
      <c r="EX810" s="58"/>
      <c r="EY810" s="58"/>
      <c r="EZ810" s="58"/>
      <c r="FA810" s="58"/>
      <c r="FB810" s="58"/>
      <c r="FC810" s="58"/>
      <c r="FD810" s="58"/>
      <c r="FE810" s="58"/>
      <c r="FF810" s="58"/>
      <c r="FG810" s="58"/>
      <c r="FH810" s="58"/>
      <c r="FI810" s="58"/>
      <c r="FJ810" s="58"/>
      <c r="FK810" s="58"/>
      <c r="FL810" s="58"/>
      <c r="FM810" s="58"/>
    </row>
    <row r="811">
      <c r="ET811" s="58"/>
      <c r="EU811" s="58"/>
      <c r="EV811" s="58"/>
      <c r="EW811" s="58"/>
      <c r="EX811" s="58"/>
      <c r="EY811" s="58"/>
      <c r="EZ811" s="58"/>
      <c r="FA811" s="58"/>
      <c r="FB811" s="58"/>
      <c r="FC811" s="58"/>
      <c r="FD811" s="58"/>
      <c r="FE811" s="58"/>
      <c r="FF811" s="58"/>
      <c r="FG811" s="58"/>
      <c r="FH811" s="58"/>
      <c r="FI811" s="58"/>
      <c r="FJ811" s="58"/>
      <c r="FK811" s="58"/>
      <c r="FL811" s="58"/>
      <c r="FM811" s="58"/>
    </row>
    <row r="812">
      <c r="ET812" s="58"/>
      <c r="EU812" s="58"/>
      <c r="EV812" s="58"/>
      <c r="EW812" s="58"/>
      <c r="EX812" s="58"/>
      <c r="EY812" s="58"/>
      <c r="EZ812" s="58"/>
      <c r="FA812" s="58"/>
      <c r="FB812" s="58"/>
      <c r="FC812" s="58"/>
      <c r="FD812" s="58"/>
      <c r="FE812" s="58"/>
      <c r="FF812" s="58"/>
      <c r="FG812" s="58"/>
      <c r="FH812" s="58"/>
      <c r="FI812" s="58"/>
      <c r="FJ812" s="58"/>
      <c r="FK812" s="58"/>
      <c r="FL812" s="58"/>
      <c r="FM812" s="58"/>
    </row>
    <row r="813">
      <c r="ET813" s="58"/>
      <c r="EU813" s="58"/>
      <c r="EV813" s="58"/>
      <c r="EW813" s="58"/>
      <c r="EX813" s="58"/>
      <c r="EY813" s="58"/>
      <c r="EZ813" s="58"/>
      <c r="FA813" s="58"/>
      <c r="FB813" s="58"/>
      <c r="FC813" s="58"/>
      <c r="FD813" s="58"/>
      <c r="FE813" s="58"/>
      <c r="FF813" s="58"/>
      <c r="FG813" s="58"/>
      <c r="FH813" s="58"/>
      <c r="FI813" s="58"/>
      <c r="FJ813" s="58"/>
      <c r="FK813" s="58"/>
      <c r="FL813" s="58"/>
      <c r="FM813" s="58"/>
    </row>
    <row r="814">
      <c r="ET814" s="58"/>
      <c r="EU814" s="58"/>
      <c r="EV814" s="58"/>
      <c r="EW814" s="58"/>
      <c r="EX814" s="58"/>
      <c r="EY814" s="58"/>
      <c r="EZ814" s="58"/>
      <c r="FA814" s="58"/>
      <c r="FB814" s="58"/>
      <c r="FC814" s="58"/>
      <c r="FD814" s="58"/>
      <c r="FE814" s="58"/>
      <c r="FF814" s="58"/>
      <c r="FG814" s="58"/>
      <c r="FH814" s="58"/>
      <c r="FI814" s="58"/>
      <c r="FJ814" s="58"/>
      <c r="FK814" s="58"/>
      <c r="FL814" s="58"/>
      <c r="FM814" s="58"/>
    </row>
    <row r="815">
      <c r="ET815" s="58"/>
      <c r="EU815" s="58"/>
      <c r="EV815" s="58"/>
      <c r="EW815" s="58"/>
      <c r="EX815" s="58"/>
      <c r="EY815" s="58"/>
      <c r="EZ815" s="58"/>
      <c r="FA815" s="58"/>
      <c r="FB815" s="58"/>
      <c r="FC815" s="58"/>
      <c r="FD815" s="58"/>
      <c r="FE815" s="58"/>
      <c r="FF815" s="58"/>
      <c r="FG815" s="58"/>
      <c r="FH815" s="58"/>
      <c r="FI815" s="58"/>
      <c r="FJ815" s="58"/>
      <c r="FK815" s="58"/>
      <c r="FL815" s="58"/>
      <c r="FM815" s="58"/>
    </row>
    <row r="816">
      <c r="ET816" s="58"/>
      <c r="EU816" s="58"/>
      <c r="EV816" s="58"/>
      <c r="EW816" s="58"/>
      <c r="EX816" s="58"/>
      <c r="EY816" s="58"/>
      <c r="EZ816" s="58"/>
      <c r="FA816" s="58"/>
      <c r="FB816" s="58"/>
      <c r="FC816" s="58"/>
      <c r="FD816" s="58"/>
      <c r="FE816" s="58"/>
      <c r="FF816" s="58"/>
      <c r="FG816" s="58"/>
      <c r="FH816" s="58"/>
      <c r="FI816" s="58"/>
      <c r="FJ816" s="58"/>
      <c r="FK816" s="58"/>
      <c r="FL816" s="58"/>
      <c r="FM816" s="58"/>
    </row>
    <row r="817">
      <c r="ET817" s="58"/>
      <c r="EU817" s="58"/>
      <c r="EV817" s="58"/>
      <c r="EW817" s="58"/>
      <c r="EX817" s="58"/>
      <c r="EY817" s="58"/>
      <c r="EZ817" s="58"/>
      <c r="FA817" s="58"/>
      <c r="FB817" s="58"/>
      <c r="FC817" s="58"/>
      <c r="FD817" s="58"/>
      <c r="FE817" s="58"/>
      <c r="FF817" s="58"/>
      <c r="FG817" s="58"/>
      <c r="FH817" s="58"/>
      <c r="FI817" s="58"/>
      <c r="FJ817" s="58"/>
      <c r="FK817" s="58"/>
      <c r="FL817" s="58"/>
      <c r="FM817" s="58"/>
    </row>
    <row r="818">
      <c r="ET818" s="58"/>
      <c r="EU818" s="58"/>
      <c r="EV818" s="58"/>
      <c r="EW818" s="58"/>
      <c r="EX818" s="58"/>
      <c r="EY818" s="58"/>
      <c r="EZ818" s="58"/>
      <c r="FA818" s="58"/>
      <c r="FB818" s="58"/>
      <c r="FC818" s="58"/>
      <c r="FD818" s="58"/>
      <c r="FE818" s="58"/>
      <c r="FF818" s="58"/>
      <c r="FG818" s="58"/>
      <c r="FH818" s="58"/>
      <c r="FI818" s="58"/>
      <c r="FJ818" s="58"/>
      <c r="FK818" s="58"/>
      <c r="FL818" s="58"/>
      <c r="FM818" s="58"/>
    </row>
    <row r="819">
      <c r="ET819" s="58"/>
      <c r="EU819" s="58"/>
      <c r="EV819" s="58"/>
      <c r="EW819" s="58"/>
      <c r="EX819" s="58"/>
      <c r="EY819" s="58"/>
      <c r="EZ819" s="58"/>
      <c r="FA819" s="58"/>
      <c r="FB819" s="58"/>
      <c r="FC819" s="58"/>
      <c r="FD819" s="58"/>
      <c r="FE819" s="58"/>
      <c r="FF819" s="58"/>
      <c r="FG819" s="58"/>
      <c r="FH819" s="58"/>
      <c r="FI819" s="58"/>
      <c r="FJ819" s="58"/>
      <c r="FK819" s="58"/>
      <c r="FL819" s="58"/>
      <c r="FM819" s="58"/>
    </row>
    <row r="820">
      <c r="ET820" s="58"/>
      <c r="EU820" s="58"/>
      <c r="EV820" s="58"/>
      <c r="EW820" s="58"/>
      <c r="EX820" s="58"/>
      <c r="EY820" s="58"/>
      <c r="EZ820" s="58"/>
      <c r="FA820" s="58"/>
      <c r="FB820" s="58"/>
      <c r="FC820" s="58"/>
      <c r="FD820" s="58"/>
      <c r="FE820" s="58"/>
      <c r="FF820" s="58"/>
      <c r="FG820" s="58"/>
      <c r="FH820" s="58"/>
      <c r="FI820" s="58"/>
      <c r="FJ820" s="58"/>
      <c r="FK820" s="58"/>
      <c r="FL820" s="58"/>
      <c r="FM820" s="58"/>
    </row>
    <row r="821">
      <c r="ET821" s="58"/>
      <c r="EU821" s="58"/>
      <c r="EV821" s="58"/>
      <c r="EW821" s="58"/>
      <c r="EX821" s="58"/>
      <c r="EY821" s="58"/>
      <c r="EZ821" s="58"/>
      <c r="FA821" s="58"/>
      <c r="FB821" s="58"/>
      <c r="FC821" s="58"/>
      <c r="FD821" s="58"/>
      <c r="FE821" s="58"/>
      <c r="FF821" s="58"/>
      <c r="FG821" s="58"/>
      <c r="FH821" s="58"/>
      <c r="FI821" s="58"/>
      <c r="FJ821" s="58"/>
      <c r="FK821" s="58"/>
      <c r="FL821" s="58"/>
      <c r="FM821" s="58"/>
    </row>
    <row r="822">
      <c r="ET822" s="58"/>
      <c r="EU822" s="58"/>
      <c r="EV822" s="58"/>
      <c r="EW822" s="58"/>
      <c r="EX822" s="58"/>
      <c r="EY822" s="58"/>
      <c r="EZ822" s="58"/>
      <c r="FA822" s="58"/>
      <c r="FB822" s="58"/>
      <c r="FC822" s="58"/>
      <c r="FD822" s="58"/>
      <c r="FE822" s="58"/>
      <c r="FF822" s="58"/>
      <c r="FG822" s="58"/>
      <c r="FH822" s="58"/>
      <c r="FI822" s="58"/>
      <c r="FJ822" s="58"/>
      <c r="FK822" s="58"/>
      <c r="FL822" s="58"/>
      <c r="FM822" s="58"/>
    </row>
    <row r="823">
      <c r="ET823" s="58"/>
      <c r="EU823" s="58"/>
      <c r="EV823" s="58"/>
      <c r="EW823" s="58"/>
      <c r="EX823" s="58"/>
      <c r="EY823" s="58"/>
      <c r="EZ823" s="58"/>
      <c r="FA823" s="58"/>
      <c r="FB823" s="58"/>
      <c r="FC823" s="58"/>
      <c r="FD823" s="58"/>
      <c r="FE823" s="58"/>
      <c r="FF823" s="58"/>
      <c r="FG823" s="58"/>
      <c r="FH823" s="58"/>
      <c r="FI823" s="58"/>
      <c r="FJ823" s="58"/>
      <c r="FK823" s="58"/>
      <c r="FL823" s="58"/>
      <c r="FM823" s="58"/>
    </row>
    <row r="824">
      <c r="ET824" s="58"/>
      <c r="EU824" s="58"/>
      <c r="EV824" s="58"/>
      <c r="EW824" s="58"/>
      <c r="EX824" s="58"/>
      <c r="EY824" s="58"/>
      <c r="EZ824" s="58"/>
      <c r="FA824" s="58"/>
      <c r="FB824" s="58"/>
      <c r="FC824" s="58"/>
      <c r="FD824" s="58"/>
      <c r="FE824" s="58"/>
      <c r="FF824" s="58"/>
      <c r="FG824" s="58"/>
      <c r="FH824" s="58"/>
      <c r="FI824" s="58"/>
      <c r="FJ824" s="58"/>
      <c r="FK824" s="58"/>
      <c r="FL824" s="58"/>
      <c r="FM824" s="58"/>
    </row>
    <row r="825">
      <c r="ET825" s="58"/>
      <c r="EU825" s="58"/>
      <c r="EV825" s="58"/>
      <c r="EW825" s="58"/>
      <c r="EX825" s="58"/>
      <c r="EY825" s="58"/>
      <c r="EZ825" s="58"/>
      <c r="FA825" s="58"/>
      <c r="FB825" s="58"/>
      <c r="FC825" s="58"/>
      <c r="FD825" s="58"/>
      <c r="FE825" s="58"/>
      <c r="FF825" s="58"/>
      <c r="FG825" s="58"/>
      <c r="FH825" s="58"/>
      <c r="FI825" s="58"/>
      <c r="FJ825" s="58"/>
      <c r="FK825" s="58"/>
      <c r="FL825" s="58"/>
      <c r="FM825" s="58"/>
    </row>
    <row r="826">
      <c r="ET826" s="58"/>
      <c r="EU826" s="58"/>
      <c r="EV826" s="58"/>
      <c r="EW826" s="58"/>
      <c r="EX826" s="58"/>
      <c r="EY826" s="58"/>
      <c r="EZ826" s="58"/>
      <c r="FA826" s="58"/>
      <c r="FB826" s="58"/>
      <c r="FC826" s="58"/>
      <c r="FD826" s="58"/>
      <c r="FE826" s="58"/>
      <c r="FF826" s="58"/>
      <c r="FG826" s="58"/>
      <c r="FH826" s="58"/>
      <c r="FI826" s="58"/>
      <c r="FJ826" s="58"/>
      <c r="FK826" s="58"/>
      <c r="FL826" s="58"/>
      <c r="FM826" s="58"/>
    </row>
    <row r="827">
      <c r="ET827" s="58"/>
      <c r="EU827" s="58"/>
      <c r="EV827" s="58"/>
      <c r="EW827" s="58"/>
      <c r="EX827" s="58"/>
      <c r="EY827" s="58"/>
      <c r="EZ827" s="58"/>
      <c r="FA827" s="58"/>
      <c r="FB827" s="58"/>
      <c r="FC827" s="58"/>
      <c r="FD827" s="58"/>
      <c r="FE827" s="58"/>
      <c r="FF827" s="58"/>
      <c r="FG827" s="58"/>
      <c r="FH827" s="58"/>
      <c r="FI827" s="58"/>
      <c r="FJ827" s="58"/>
      <c r="FK827" s="58"/>
      <c r="FL827" s="58"/>
      <c r="FM827" s="58"/>
    </row>
    <row r="828">
      <c r="ET828" s="58"/>
      <c r="EU828" s="58"/>
      <c r="EV828" s="58"/>
      <c r="EW828" s="58"/>
      <c r="EX828" s="58"/>
      <c r="EY828" s="58"/>
      <c r="EZ828" s="58"/>
      <c r="FA828" s="58"/>
      <c r="FB828" s="58"/>
      <c r="FC828" s="58"/>
      <c r="FD828" s="58"/>
      <c r="FE828" s="58"/>
      <c r="FF828" s="58"/>
      <c r="FG828" s="58"/>
      <c r="FH828" s="58"/>
      <c r="FI828" s="58"/>
      <c r="FJ828" s="58"/>
      <c r="FK828" s="58"/>
      <c r="FL828" s="58"/>
      <c r="FM828" s="58"/>
    </row>
    <row r="829">
      <c r="ET829" s="58"/>
      <c r="EU829" s="58"/>
      <c r="EV829" s="58"/>
      <c r="EW829" s="58"/>
      <c r="EX829" s="58"/>
      <c r="EY829" s="58"/>
      <c r="EZ829" s="58"/>
      <c r="FA829" s="58"/>
      <c r="FB829" s="58"/>
      <c r="FC829" s="58"/>
      <c r="FD829" s="58"/>
      <c r="FE829" s="58"/>
      <c r="FF829" s="58"/>
      <c r="FG829" s="58"/>
      <c r="FH829" s="58"/>
      <c r="FI829" s="58"/>
      <c r="FJ829" s="58"/>
      <c r="FK829" s="58"/>
      <c r="FL829" s="58"/>
      <c r="FM829" s="58"/>
    </row>
    <row r="830">
      <c r="ET830" s="58"/>
      <c r="EU830" s="58"/>
      <c r="EV830" s="58"/>
      <c r="EW830" s="58"/>
      <c r="EX830" s="58"/>
      <c r="EY830" s="58"/>
      <c r="EZ830" s="58"/>
      <c r="FA830" s="58"/>
      <c r="FB830" s="58"/>
      <c r="FC830" s="58"/>
      <c r="FD830" s="58"/>
      <c r="FE830" s="58"/>
      <c r="FF830" s="58"/>
      <c r="FG830" s="58"/>
      <c r="FH830" s="58"/>
      <c r="FI830" s="58"/>
      <c r="FJ830" s="58"/>
      <c r="FK830" s="58"/>
      <c r="FL830" s="58"/>
      <c r="FM830" s="58"/>
    </row>
    <row r="831">
      <c r="ET831" s="58"/>
      <c r="EU831" s="58"/>
      <c r="EV831" s="58"/>
      <c r="EW831" s="58"/>
      <c r="EX831" s="58"/>
      <c r="EY831" s="58"/>
      <c r="EZ831" s="58"/>
      <c r="FA831" s="58"/>
      <c r="FB831" s="58"/>
      <c r="FC831" s="58"/>
      <c r="FD831" s="58"/>
      <c r="FE831" s="58"/>
      <c r="FF831" s="58"/>
      <c r="FG831" s="58"/>
      <c r="FH831" s="58"/>
      <c r="FI831" s="58"/>
      <c r="FJ831" s="58"/>
      <c r="FK831" s="58"/>
      <c r="FL831" s="58"/>
      <c r="FM831" s="58"/>
    </row>
    <row r="832">
      <c r="ET832" s="58"/>
      <c r="EU832" s="58"/>
      <c r="EV832" s="58"/>
      <c r="EW832" s="58"/>
      <c r="EX832" s="58"/>
      <c r="EY832" s="58"/>
      <c r="EZ832" s="58"/>
      <c r="FA832" s="58"/>
      <c r="FB832" s="58"/>
      <c r="FC832" s="58"/>
      <c r="FD832" s="58"/>
      <c r="FE832" s="58"/>
      <c r="FF832" s="58"/>
      <c r="FG832" s="58"/>
      <c r="FH832" s="58"/>
      <c r="FI832" s="58"/>
      <c r="FJ832" s="58"/>
      <c r="FK832" s="58"/>
      <c r="FL832" s="58"/>
      <c r="FM832" s="58"/>
    </row>
    <row r="833">
      <c r="ET833" s="58"/>
      <c r="EU833" s="58"/>
      <c r="EV833" s="58"/>
      <c r="EW833" s="58"/>
      <c r="EX833" s="58"/>
      <c r="EY833" s="58"/>
      <c r="EZ833" s="58"/>
      <c r="FA833" s="58"/>
      <c r="FB833" s="58"/>
      <c r="FC833" s="58"/>
      <c r="FD833" s="58"/>
      <c r="FE833" s="58"/>
      <c r="FF833" s="58"/>
      <c r="FG833" s="58"/>
      <c r="FH833" s="58"/>
      <c r="FI833" s="58"/>
      <c r="FJ833" s="58"/>
      <c r="FK833" s="58"/>
      <c r="FL833" s="58"/>
      <c r="FM833" s="58"/>
    </row>
    <row r="834">
      <c r="ET834" s="58"/>
      <c r="EU834" s="58"/>
      <c r="EV834" s="58"/>
      <c r="EW834" s="58"/>
      <c r="EX834" s="58"/>
      <c r="EY834" s="58"/>
      <c r="EZ834" s="58"/>
      <c r="FA834" s="58"/>
      <c r="FB834" s="58"/>
      <c r="FC834" s="58"/>
      <c r="FD834" s="58"/>
      <c r="FE834" s="58"/>
      <c r="FF834" s="58"/>
      <c r="FG834" s="58"/>
      <c r="FH834" s="58"/>
      <c r="FI834" s="58"/>
      <c r="FJ834" s="58"/>
      <c r="FK834" s="58"/>
      <c r="FL834" s="58"/>
      <c r="FM834" s="58"/>
    </row>
    <row r="835">
      <c r="ET835" s="58"/>
      <c r="EU835" s="58"/>
      <c r="EV835" s="58"/>
      <c r="EW835" s="58"/>
      <c r="EX835" s="58"/>
      <c r="EY835" s="58"/>
      <c r="EZ835" s="58"/>
      <c r="FA835" s="58"/>
      <c r="FB835" s="58"/>
      <c r="FC835" s="58"/>
      <c r="FD835" s="58"/>
      <c r="FE835" s="58"/>
      <c r="FF835" s="58"/>
      <c r="FG835" s="58"/>
      <c r="FH835" s="58"/>
      <c r="FI835" s="58"/>
      <c r="FJ835" s="58"/>
      <c r="FK835" s="58"/>
      <c r="FL835" s="58"/>
      <c r="FM835" s="58"/>
    </row>
    <row r="836">
      <c r="ET836" s="58"/>
      <c r="EU836" s="58"/>
      <c r="EV836" s="58"/>
      <c r="EW836" s="58"/>
      <c r="EX836" s="58"/>
      <c r="EY836" s="58"/>
      <c r="EZ836" s="58"/>
      <c r="FA836" s="58"/>
      <c r="FB836" s="58"/>
      <c r="FC836" s="58"/>
      <c r="FD836" s="58"/>
      <c r="FE836" s="58"/>
      <c r="FF836" s="58"/>
      <c r="FG836" s="58"/>
      <c r="FH836" s="58"/>
      <c r="FI836" s="58"/>
      <c r="FJ836" s="58"/>
      <c r="FK836" s="58"/>
      <c r="FL836" s="58"/>
      <c r="FM836" s="58"/>
    </row>
    <row r="837">
      <c r="ET837" s="58"/>
      <c r="EU837" s="58"/>
      <c r="EV837" s="58"/>
      <c r="EW837" s="58"/>
      <c r="EX837" s="58"/>
      <c r="EY837" s="58"/>
      <c r="EZ837" s="58"/>
      <c r="FA837" s="58"/>
      <c r="FB837" s="58"/>
      <c r="FC837" s="58"/>
      <c r="FD837" s="58"/>
      <c r="FE837" s="58"/>
      <c r="FF837" s="58"/>
      <c r="FG837" s="58"/>
      <c r="FH837" s="58"/>
      <c r="FI837" s="58"/>
      <c r="FJ837" s="58"/>
      <c r="FK837" s="58"/>
      <c r="FL837" s="58"/>
      <c r="FM837" s="58"/>
    </row>
    <row r="838">
      <c r="ET838" s="58"/>
      <c r="EU838" s="58"/>
      <c r="EV838" s="58"/>
      <c r="EW838" s="58"/>
      <c r="EX838" s="58"/>
      <c r="EY838" s="58"/>
      <c r="EZ838" s="58"/>
      <c r="FA838" s="58"/>
      <c r="FB838" s="58"/>
      <c r="FC838" s="58"/>
      <c r="FD838" s="58"/>
      <c r="FE838" s="58"/>
      <c r="FF838" s="58"/>
      <c r="FG838" s="58"/>
      <c r="FH838" s="58"/>
      <c r="FI838" s="58"/>
      <c r="FJ838" s="58"/>
      <c r="FK838" s="58"/>
      <c r="FL838" s="58"/>
      <c r="FM838" s="58"/>
    </row>
    <row r="839">
      <c r="ET839" s="58"/>
      <c r="EU839" s="58"/>
      <c r="EV839" s="58"/>
      <c r="EW839" s="58"/>
      <c r="EX839" s="58"/>
      <c r="EY839" s="58"/>
      <c r="EZ839" s="58"/>
      <c r="FA839" s="58"/>
      <c r="FB839" s="58"/>
      <c r="FC839" s="58"/>
      <c r="FD839" s="58"/>
      <c r="FE839" s="58"/>
      <c r="FF839" s="58"/>
      <c r="FG839" s="58"/>
      <c r="FH839" s="58"/>
      <c r="FI839" s="58"/>
      <c r="FJ839" s="58"/>
      <c r="FK839" s="58"/>
      <c r="FL839" s="58"/>
      <c r="FM839" s="58"/>
    </row>
    <row r="840">
      <c r="ET840" s="58"/>
      <c r="EU840" s="58"/>
      <c r="EV840" s="58"/>
      <c r="EW840" s="58"/>
      <c r="EX840" s="58"/>
      <c r="EY840" s="58"/>
      <c r="EZ840" s="58"/>
      <c r="FA840" s="58"/>
      <c r="FB840" s="58"/>
      <c r="FC840" s="58"/>
      <c r="FD840" s="58"/>
      <c r="FE840" s="58"/>
      <c r="FF840" s="58"/>
      <c r="FG840" s="58"/>
      <c r="FH840" s="58"/>
      <c r="FI840" s="58"/>
      <c r="FJ840" s="58"/>
      <c r="FK840" s="58"/>
      <c r="FL840" s="58"/>
      <c r="FM840" s="58"/>
    </row>
    <row r="841">
      <c r="ET841" s="58"/>
      <c r="EU841" s="58"/>
      <c r="EV841" s="58"/>
      <c r="EW841" s="58"/>
      <c r="EX841" s="58"/>
      <c r="EY841" s="58"/>
      <c r="EZ841" s="58"/>
      <c r="FA841" s="58"/>
      <c r="FB841" s="58"/>
      <c r="FC841" s="58"/>
      <c r="FD841" s="58"/>
      <c r="FE841" s="58"/>
      <c r="FF841" s="58"/>
      <c r="FG841" s="58"/>
      <c r="FH841" s="58"/>
      <c r="FI841" s="58"/>
      <c r="FJ841" s="58"/>
      <c r="FK841" s="58"/>
      <c r="FL841" s="58"/>
      <c r="FM841" s="58"/>
    </row>
    <row r="842">
      <c r="ET842" s="58"/>
      <c r="EU842" s="58"/>
      <c r="EV842" s="58"/>
      <c r="EW842" s="58"/>
      <c r="EX842" s="58"/>
      <c r="EY842" s="58"/>
      <c r="EZ842" s="58"/>
      <c r="FA842" s="58"/>
      <c r="FB842" s="58"/>
      <c r="FC842" s="58"/>
      <c r="FD842" s="58"/>
      <c r="FE842" s="58"/>
      <c r="FF842" s="58"/>
      <c r="FG842" s="58"/>
      <c r="FH842" s="58"/>
      <c r="FI842" s="58"/>
      <c r="FJ842" s="58"/>
      <c r="FK842" s="58"/>
      <c r="FL842" s="58"/>
      <c r="FM842" s="58"/>
    </row>
    <row r="843">
      <c r="ET843" s="58"/>
      <c r="EU843" s="58"/>
      <c r="EV843" s="58"/>
      <c r="EW843" s="58"/>
      <c r="EX843" s="58"/>
      <c r="EY843" s="58"/>
      <c r="EZ843" s="58"/>
      <c r="FA843" s="58"/>
      <c r="FB843" s="58"/>
      <c r="FC843" s="58"/>
      <c r="FD843" s="58"/>
      <c r="FE843" s="58"/>
      <c r="FF843" s="58"/>
      <c r="FG843" s="58"/>
      <c r="FH843" s="58"/>
      <c r="FI843" s="58"/>
      <c r="FJ843" s="58"/>
      <c r="FK843" s="58"/>
      <c r="FL843" s="58"/>
      <c r="FM843" s="58"/>
    </row>
    <row r="844">
      <c r="ET844" s="58"/>
      <c r="EU844" s="58"/>
      <c r="EV844" s="58"/>
      <c r="EW844" s="58"/>
      <c r="EX844" s="58"/>
      <c r="EY844" s="58"/>
      <c r="EZ844" s="58"/>
      <c r="FA844" s="58"/>
      <c r="FB844" s="58"/>
      <c r="FC844" s="58"/>
      <c r="FD844" s="58"/>
      <c r="FE844" s="58"/>
      <c r="FF844" s="58"/>
      <c r="FG844" s="58"/>
      <c r="FH844" s="58"/>
      <c r="FI844" s="58"/>
      <c r="FJ844" s="58"/>
      <c r="FK844" s="58"/>
      <c r="FL844" s="58"/>
      <c r="FM844" s="58"/>
    </row>
    <row r="845">
      <c r="ET845" s="58"/>
      <c r="EU845" s="58"/>
      <c r="EV845" s="58"/>
      <c r="EW845" s="58"/>
      <c r="EX845" s="58"/>
      <c r="EY845" s="58"/>
      <c r="EZ845" s="58"/>
      <c r="FA845" s="58"/>
      <c r="FB845" s="58"/>
      <c r="FC845" s="58"/>
      <c r="FD845" s="58"/>
      <c r="FE845" s="58"/>
      <c r="FF845" s="58"/>
      <c r="FG845" s="58"/>
      <c r="FH845" s="58"/>
      <c r="FI845" s="58"/>
      <c r="FJ845" s="58"/>
      <c r="FK845" s="58"/>
      <c r="FL845" s="58"/>
      <c r="FM845" s="58"/>
    </row>
    <row r="846">
      <c r="ET846" s="58"/>
      <c r="EU846" s="58"/>
      <c r="EV846" s="58"/>
      <c r="EW846" s="58"/>
      <c r="EX846" s="58"/>
      <c r="EY846" s="58"/>
      <c r="EZ846" s="58"/>
      <c r="FA846" s="58"/>
      <c r="FB846" s="58"/>
      <c r="FC846" s="58"/>
      <c r="FD846" s="58"/>
      <c r="FE846" s="58"/>
      <c r="FF846" s="58"/>
      <c r="FG846" s="58"/>
      <c r="FH846" s="58"/>
      <c r="FI846" s="58"/>
      <c r="FJ846" s="58"/>
      <c r="FK846" s="58"/>
      <c r="FL846" s="58"/>
      <c r="FM846" s="58"/>
    </row>
    <row r="847">
      <c r="ET847" s="58"/>
      <c r="EU847" s="58"/>
      <c r="EV847" s="58"/>
      <c r="EW847" s="58"/>
      <c r="EX847" s="58"/>
      <c r="EY847" s="58"/>
      <c r="EZ847" s="58"/>
      <c r="FA847" s="58"/>
      <c r="FB847" s="58"/>
      <c r="FC847" s="58"/>
      <c r="FD847" s="58"/>
      <c r="FE847" s="58"/>
      <c r="FF847" s="58"/>
      <c r="FG847" s="58"/>
      <c r="FH847" s="58"/>
      <c r="FI847" s="58"/>
      <c r="FJ847" s="58"/>
      <c r="FK847" s="58"/>
      <c r="FL847" s="58"/>
      <c r="FM847" s="58"/>
    </row>
    <row r="848">
      <c r="ET848" s="58"/>
      <c r="EU848" s="58"/>
      <c r="EV848" s="58"/>
      <c r="EW848" s="58"/>
      <c r="EX848" s="58"/>
      <c r="EY848" s="58"/>
      <c r="EZ848" s="58"/>
      <c r="FA848" s="58"/>
      <c r="FB848" s="58"/>
      <c r="FC848" s="58"/>
      <c r="FD848" s="58"/>
      <c r="FE848" s="58"/>
      <c r="FF848" s="58"/>
      <c r="FG848" s="58"/>
      <c r="FH848" s="58"/>
      <c r="FI848" s="58"/>
      <c r="FJ848" s="58"/>
      <c r="FK848" s="58"/>
      <c r="FL848" s="58"/>
      <c r="FM848" s="58"/>
    </row>
    <row r="849">
      <c r="ET849" s="58"/>
      <c r="EU849" s="58"/>
      <c r="EV849" s="58"/>
      <c r="EW849" s="58"/>
      <c r="EX849" s="58"/>
      <c r="EY849" s="58"/>
      <c r="EZ849" s="58"/>
      <c r="FA849" s="58"/>
      <c r="FB849" s="58"/>
      <c r="FC849" s="58"/>
      <c r="FD849" s="58"/>
      <c r="FE849" s="58"/>
      <c r="FF849" s="58"/>
      <c r="FG849" s="58"/>
      <c r="FH849" s="58"/>
      <c r="FI849" s="58"/>
      <c r="FJ849" s="58"/>
      <c r="FK849" s="58"/>
      <c r="FL849" s="58"/>
      <c r="FM849" s="58"/>
    </row>
    <row r="850">
      <c r="ET850" s="58"/>
      <c r="EU850" s="58"/>
      <c r="EV850" s="58"/>
      <c r="EW850" s="58"/>
      <c r="EX850" s="58"/>
      <c r="EY850" s="58"/>
      <c r="EZ850" s="58"/>
      <c r="FA850" s="58"/>
      <c r="FB850" s="58"/>
      <c r="FC850" s="58"/>
      <c r="FD850" s="58"/>
      <c r="FE850" s="58"/>
      <c r="FF850" s="58"/>
      <c r="FG850" s="58"/>
      <c r="FH850" s="58"/>
      <c r="FI850" s="58"/>
      <c r="FJ850" s="58"/>
      <c r="FK850" s="58"/>
      <c r="FL850" s="58"/>
      <c r="FM850" s="58"/>
    </row>
    <row r="851">
      <c r="ET851" s="58"/>
      <c r="EU851" s="58"/>
      <c r="EV851" s="58"/>
      <c r="EW851" s="58"/>
      <c r="EX851" s="58"/>
      <c r="EY851" s="58"/>
      <c r="EZ851" s="58"/>
      <c r="FA851" s="58"/>
      <c r="FB851" s="58"/>
      <c r="FC851" s="58"/>
      <c r="FD851" s="58"/>
      <c r="FE851" s="58"/>
      <c r="FF851" s="58"/>
      <c r="FG851" s="58"/>
      <c r="FH851" s="58"/>
      <c r="FI851" s="58"/>
      <c r="FJ851" s="58"/>
      <c r="FK851" s="58"/>
      <c r="FL851" s="58"/>
      <c r="FM851" s="58"/>
    </row>
    <row r="852">
      <c r="ET852" s="58"/>
      <c r="EU852" s="58"/>
      <c r="EV852" s="58"/>
      <c r="EW852" s="58"/>
      <c r="EX852" s="58"/>
      <c r="EY852" s="58"/>
      <c r="EZ852" s="58"/>
      <c r="FA852" s="58"/>
      <c r="FB852" s="58"/>
      <c r="FC852" s="58"/>
      <c r="FD852" s="58"/>
      <c r="FE852" s="58"/>
      <c r="FF852" s="58"/>
      <c r="FG852" s="58"/>
      <c r="FH852" s="58"/>
      <c r="FI852" s="58"/>
      <c r="FJ852" s="58"/>
      <c r="FK852" s="58"/>
      <c r="FL852" s="58"/>
      <c r="FM852" s="58"/>
    </row>
    <row r="853">
      <c r="ET853" s="58"/>
      <c r="EU853" s="58"/>
      <c r="EV853" s="58"/>
      <c r="EW853" s="58"/>
      <c r="EX853" s="58"/>
      <c r="EY853" s="58"/>
      <c r="EZ853" s="58"/>
      <c r="FA853" s="58"/>
      <c r="FB853" s="58"/>
      <c r="FC853" s="58"/>
      <c r="FD853" s="58"/>
      <c r="FE853" s="58"/>
      <c r="FF853" s="58"/>
      <c r="FG853" s="58"/>
      <c r="FH853" s="58"/>
      <c r="FI853" s="58"/>
      <c r="FJ853" s="58"/>
      <c r="FK853" s="58"/>
      <c r="FL853" s="58"/>
      <c r="FM853" s="58"/>
    </row>
    <row r="854">
      <c r="ET854" s="58"/>
      <c r="EU854" s="58"/>
      <c r="EV854" s="58"/>
      <c r="EW854" s="58"/>
      <c r="EX854" s="58"/>
      <c r="EY854" s="58"/>
      <c r="EZ854" s="58"/>
      <c r="FA854" s="58"/>
      <c r="FB854" s="58"/>
      <c r="FC854" s="58"/>
      <c r="FD854" s="58"/>
      <c r="FE854" s="58"/>
      <c r="FF854" s="58"/>
      <c r="FG854" s="58"/>
      <c r="FH854" s="58"/>
      <c r="FI854" s="58"/>
      <c r="FJ854" s="58"/>
      <c r="FK854" s="58"/>
      <c r="FL854" s="58"/>
      <c r="FM854" s="58"/>
    </row>
    <row r="855">
      <c r="ET855" s="58"/>
      <c r="EU855" s="58"/>
      <c r="EV855" s="58"/>
      <c r="EW855" s="58"/>
      <c r="EX855" s="58"/>
      <c r="EY855" s="58"/>
      <c r="EZ855" s="58"/>
      <c r="FA855" s="58"/>
      <c r="FB855" s="58"/>
      <c r="FC855" s="58"/>
      <c r="FD855" s="58"/>
      <c r="FE855" s="58"/>
      <c r="FF855" s="58"/>
      <c r="FG855" s="58"/>
      <c r="FH855" s="58"/>
      <c r="FI855" s="58"/>
      <c r="FJ855" s="58"/>
      <c r="FK855" s="58"/>
      <c r="FL855" s="58"/>
      <c r="FM855" s="58"/>
    </row>
    <row r="856">
      <c r="ET856" s="58"/>
      <c r="EU856" s="58"/>
      <c r="EV856" s="58"/>
      <c r="EW856" s="58"/>
      <c r="EX856" s="58"/>
      <c r="EY856" s="58"/>
      <c r="EZ856" s="58"/>
      <c r="FA856" s="58"/>
      <c r="FB856" s="58"/>
      <c r="FC856" s="58"/>
      <c r="FD856" s="58"/>
      <c r="FE856" s="58"/>
      <c r="FF856" s="58"/>
      <c r="FG856" s="58"/>
      <c r="FH856" s="58"/>
      <c r="FI856" s="58"/>
      <c r="FJ856" s="58"/>
      <c r="FK856" s="58"/>
      <c r="FL856" s="58"/>
      <c r="FM856" s="58"/>
    </row>
    <row r="857">
      <c r="ET857" s="58"/>
      <c r="EU857" s="58"/>
      <c r="EV857" s="58"/>
      <c r="EW857" s="58"/>
      <c r="EX857" s="58"/>
      <c r="EY857" s="58"/>
      <c r="EZ857" s="58"/>
      <c r="FA857" s="58"/>
      <c r="FB857" s="58"/>
      <c r="FC857" s="58"/>
      <c r="FD857" s="58"/>
      <c r="FE857" s="58"/>
      <c r="FF857" s="58"/>
      <c r="FG857" s="58"/>
      <c r="FH857" s="58"/>
      <c r="FI857" s="58"/>
      <c r="FJ857" s="58"/>
      <c r="FK857" s="58"/>
      <c r="FL857" s="58"/>
      <c r="FM857" s="58"/>
    </row>
    <row r="858">
      <c r="ET858" s="58"/>
      <c r="EU858" s="58"/>
      <c r="EV858" s="58"/>
      <c r="EW858" s="58"/>
      <c r="EX858" s="58"/>
      <c r="EY858" s="58"/>
      <c r="EZ858" s="58"/>
      <c r="FA858" s="58"/>
      <c r="FB858" s="58"/>
      <c r="FC858" s="58"/>
      <c r="FD858" s="58"/>
      <c r="FE858" s="58"/>
      <c r="FF858" s="58"/>
      <c r="FG858" s="58"/>
      <c r="FH858" s="58"/>
      <c r="FI858" s="58"/>
      <c r="FJ858" s="58"/>
      <c r="FK858" s="58"/>
      <c r="FL858" s="58"/>
      <c r="FM858" s="58"/>
    </row>
    <row r="859">
      <c r="ET859" s="58"/>
      <c r="EU859" s="58"/>
      <c r="EV859" s="58"/>
      <c r="EW859" s="58"/>
      <c r="EX859" s="58"/>
      <c r="EY859" s="58"/>
      <c r="EZ859" s="58"/>
      <c r="FA859" s="58"/>
      <c r="FB859" s="58"/>
      <c r="FC859" s="58"/>
      <c r="FD859" s="58"/>
      <c r="FE859" s="58"/>
      <c r="FF859" s="58"/>
      <c r="FG859" s="58"/>
      <c r="FH859" s="58"/>
      <c r="FI859" s="58"/>
      <c r="FJ859" s="58"/>
      <c r="FK859" s="58"/>
      <c r="FL859" s="58"/>
      <c r="FM859" s="58"/>
    </row>
    <row r="860">
      <c r="ET860" s="58"/>
      <c r="EU860" s="58"/>
      <c r="EV860" s="58"/>
      <c r="EW860" s="58"/>
      <c r="EX860" s="58"/>
      <c r="EY860" s="58"/>
      <c r="EZ860" s="58"/>
      <c r="FA860" s="58"/>
      <c r="FB860" s="58"/>
      <c r="FC860" s="58"/>
      <c r="FD860" s="58"/>
      <c r="FE860" s="58"/>
      <c r="FF860" s="58"/>
      <c r="FG860" s="58"/>
      <c r="FH860" s="58"/>
      <c r="FI860" s="58"/>
      <c r="FJ860" s="58"/>
      <c r="FK860" s="58"/>
      <c r="FL860" s="58"/>
      <c r="FM860" s="58"/>
    </row>
    <row r="861">
      <c r="ET861" s="58"/>
      <c r="EU861" s="58"/>
      <c r="EV861" s="58"/>
      <c r="EW861" s="58"/>
      <c r="EX861" s="58"/>
      <c r="EY861" s="58"/>
      <c r="EZ861" s="58"/>
      <c r="FA861" s="58"/>
      <c r="FB861" s="58"/>
      <c r="FC861" s="58"/>
      <c r="FD861" s="58"/>
      <c r="FE861" s="58"/>
      <c r="FF861" s="58"/>
      <c r="FG861" s="58"/>
      <c r="FH861" s="58"/>
      <c r="FI861" s="58"/>
      <c r="FJ861" s="58"/>
      <c r="FK861" s="58"/>
      <c r="FL861" s="58"/>
      <c r="FM861" s="58"/>
    </row>
    <row r="862">
      <c r="ET862" s="58"/>
      <c r="EU862" s="58"/>
      <c r="EV862" s="58"/>
      <c r="EW862" s="58"/>
      <c r="EX862" s="58"/>
      <c r="EY862" s="58"/>
      <c r="EZ862" s="58"/>
      <c r="FA862" s="58"/>
      <c r="FB862" s="58"/>
      <c r="FC862" s="58"/>
      <c r="FD862" s="58"/>
      <c r="FE862" s="58"/>
      <c r="FF862" s="58"/>
      <c r="FG862" s="58"/>
      <c r="FH862" s="58"/>
      <c r="FI862" s="58"/>
      <c r="FJ862" s="58"/>
      <c r="FK862" s="58"/>
      <c r="FL862" s="58"/>
      <c r="FM862" s="58"/>
    </row>
    <row r="863">
      <c r="ET863" s="58"/>
      <c r="EU863" s="58"/>
      <c r="EV863" s="58"/>
      <c r="EW863" s="58"/>
      <c r="EX863" s="58"/>
      <c r="EY863" s="58"/>
      <c r="EZ863" s="58"/>
      <c r="FA863" s="58"/>
      <c r="FB863" s="58"/>
      <c r="FC863" s="58"/>
      <c r="FD863" s="58"/>
      <c r="FE863" s="58"/>
      <c r="FF863" s="58"/>
      <c r="FG863" s="58"/>
      <c r="FH863" s="58"/>
      <c r="FI863" s="58"/>
      <c r="FJ863" s="58"/>
      <c r="FK863" s="58"/>
      <c r="FL863" s="58"/>
      <c r="FM863" s="58"/>
    </row>
    <row r="864">
      <c r="ET864" s="58"/>
      <c r="EU864" s="58"/>
      <c r="EV864" s="58"/>
      <c r="EW864" s="58"/>
      <c r="EX864" s="58"/>
      <c r="EY864" s="58"/>
      <c r="EZ864" s="58"/>
      <c r="FA864" s="58"/>
      <c r="FB864" s="58"/>
      <c r="FC864" s="58"/>
      <c r="FD864" s="58"/>
      <c r="FE864" s="58"/>
      <c r="FF864" s="58"/>
      <c r="FG864" s="58"/>
      <c r="FH864" s="58"/>
      <c r="FI864" s="58"/>
      <c r="FJ864" s="58"/>
      <c r="FK864" s="58"/>
      <c r="FL864" s="58"/>
      <c r="FM864" s="58"/>
    </row>
    <row r="865">
      <c r="ET865" s="58"/>
      <c r="EU865" s="58"/>
      <c r="EV865" s="58"/>
      <c r="EW865" s="58"/>
      <c r="EX865" s="58"/>
      <c r="EY865" s="58"/>
      <c r="EZ865" s="58"/>
      <c r="FA865" s="58"/>
      <c r="FB865" s="58"/>
      <c r="FC865" s="58"/>
      <c r="FD865" s="58"/>
      <c r="FE865" s="58"/>
      <c r="FF865" s="58"/>
      <c r="FG865" s="58"/>
      <c r="FH865" s="58"/>
      <c r="FI865" s="58"/>
      <c r="FJ865" s="58"/>
      <c r="FK865" s="58"/>
      <c r="FL865" s="58"/>
      <c r="FM865" s="58"/>
    </row>
    <row r="866">
      <c r="ET866" s="58"/>
      <c r="EU866" s="58"/>
      <c r="EV866" s="58"/>
      <c r="EW866" s="58"/>
      <c r="EX866" s="58"/>
      <c r="EY866" s="58"/>
      <c r="EZ866" s="58"/>
      <c r="FA866" s="58"/>
      <c r="FB866" s="58"/>
      <c r="FC866" s="58"/>
      <c r="FD866" s="58"/>
      <c r="FE866" s="58"/>
      <c r="FF866" s="58"/>
      <c r="FG866" s="58"/>
      <c r="FH866" s="58"/>
      <c r="FI866" s="58"/>
      <c r="FJ866" s="58"/>
      <c r="FK866" s="58"/>
      <c r="FL866" s="58"/>
      <c r="FM866" s="58"/>
    </row>
    <row r="867">
      <c r="ET867" s="58"/>
      <c r="EU867" s="58"/>
      <c r="EV867" s="58"/>
      <c r="EW867" s="58"/>
      <c r="EX867" s="58"/>
      <c r="EY867" s="58"/>
      <c r="EZ867" s="58"/>
      <c r="FA867" s="58"/>
      <c r="FB867" s="58"/>
      <c r="FC867" s="58"/>
      <c r="FD867" s="58"/>
      <c r="FE867" s="58"/>
      <c r="FF867" s="58"/>
      <c r="FG867" s="58"/>
      <c r="FH867" s="58"/>
      <c r="FI867" s="58"/>
      <c r="FJ867" s="58"/>
      <c r="FK867" s="58"/>
      <c r="FL867" s="58"/>
      <c r="FM867" s="58"/>
    </row>
    <row r="868">
      <c r="ET868" s="58"/>
      <c r="EU868" s="58"/>
      <c r="EV868" s="58"/>
      <c r="EW868" s="58"/>
      <c r="EX868" s="58"/>
      <c r="EY868" s="58"/>
      <c r="EZ868" s="58"/>
      <c r="FA868" s="58"/>
      <c r="FB868" s="58"/>
      <c r="FC868" s="58"/>
      <c r="FD868" s="58"/>
      <c r="FE868" s="58"/>
      <c r="FF868" s="58"/>
      <c r="FG868" s="58"/>
      <c r="FH868" s="58"/>
      <c r="FI868" s="58"/>
      <c r="FJ868" s="58"/>
      <c r="FK868" s="58"/>
      <c r="FL868" s="58"/>
      <c r="FM868" s="58"/>
    </row>
    <row r="869">
      <c r="ET869" s="58"/>
      <c r="EU869" s="58"/>
      <c r="EV869" s="58"/>
      <c r="EW869" s="58"/>
      <c r="EX869" s="58"/>
      <c r="EY869" s="58"/>
      <c r="EZ869" s="58"/>
      <c r="FA869" s="58"/>
      <c r="FB869" s="58"/>
      <c r="FC869" s="58"/>
      <c r="FD869" s="58"/>
      <c r="FE869" s="58"/>
      <c r="FF869" s="58"/>
      <c r="FG869" s="58"/>
      <c r="FH869" s="58"/>
      <c r="FI869" s="58"/>
      <c r="FJ869" s="58"/>
      <c r="FK869" s="58"/>
      <c r="FL869" s="58"/>
      <c r="FM869" s="58"/>
    </row>
    <row r="870">
      <c r="ET870" s="58"/>
      <c r="EU870" s="58"/>
      <c r="EV870" s="58"/>
      <c r="EW870" s="58"/>
      <c r="EX870" s="58"/>
      <c r="EY870" s="58"/>
      <c r="EZ870" s="58"/>
      <c r="FA870" s="58"/>
      <c r="FB870" s="58"/>
      <c r="FC870" s="58"/>
      <c r="FD870" s="58"/>
      <c r="FE870" s="58"/>
      <c r="FF870" s="58"/>
      <c r="FG870" s="58"/>
      <c r="FH870" s="58"/>
      <c r="FI870" s="58"/>
      <c r="FJ870" s="58"/>
      <c r="FK870" s="58"/>
      <c r="FL870" s="58"/>
      <c r="FM870" s="58"/>
    </row>
    <row r="871">
      <c r="ET871" s="58"/>
      <c r="EU871" s="58"/>
      <c r="EV871" s="58"/>
      <c r="EW871" s="58"/>
      <c r="EX871" s="58"/>
      <c r="EY871" s="58"/>
      <c r="EZ871" s="58"/>
      <c r="FA871" s="58"/>
      <c r="FB871" s="58"/>
      <c r="FC871" s="58"/>
      <c r="FD871" s="58"/>
      <c r="FE871" s="58"/>
      <c r="FF871" s="58"/>
      <c r="FG871" s="58"/>
      <c r="FH871" s="58"/>
      <c r="FI871" s="58"/>
      <c r="FJ871" s="58"/>
      <c r="FK871" s="58"/>
      <c r="FL871" s="58"/>
      <c r="FM871" s="58"/>
    </row>
    <row r="872">
      <c r="ET872" s="58"/>
      <c r="EU872" s="58"/>
      <c r="EV872" s="58"/>
      <c r="EW872" s="58"/>
      <c r="EX872" s="58"/>
      <c r="EY872" s="58"/>
      <c r="EZ872" s="58"/>
      <c r="FA872" s="58"/>
      <c r="FB872" s="58"/>
      <c r="FC872" s="58"/>
      <c r="FD872" s="58"/>
      <c r="FE872" s="58"/>
      <c r="FF872" s="58"/>
      <c r="FG872" s="58"/>
      <c r="FH872" s="58"/>
      <c r="FI872" s="58"/>
      <c r="FJ872" s="58"/>
      <c r="FK872" s="58"/>
      <c r="FL872" s="58"/>
      <c r="FM872" s="58"/>
    </row>
    <row r="873">
      <c r="ET873" s="58"/>
      <c r="EU873" s="58"/>
      <c r="EV873" s="58"/>
      <c r="EW873" s="58"/>
      <c r="EX873" s="58"/>
      <c r="EY873" s="58"/>
      <c r="EZ873" s="58"/>
      <c r="FA873" s="58"/>
      <c r="FB873" s="58"/>
      <c r="FC873" s="58"/>
      <c r="FD873" s="58"/>
      <c r="FE873" s="58"/>
      <c r="FF873" s="58"/>
      <c r="FG873" s="58"/>
      <c r="FH873" s="58"/>
      <c r="FI873" s="58"/>
      <c r="FJ873" s="58"/>
      <c r="FK873" s="58"/>
      <c r="FL873" s="58"/>
      <c r="FM873" s="58"/>
    </row>
    <row r="874">
      <c r="ET874" s="58"/>
      <c r="EU874" s="58"/>
      <c r="EV874" s="58"/>
      <c r="EW874" s="58"/>
      <c r="EX874" s="58"/>
      <c r="EY874" s="58"/>
      <c r="EZ874" s="58"/>
      <c r="FA874" s="58"/>
      <c r="FB874" s="58"/>
      <c r="FC874" s="58"/>
      <c r="FD874" s="58"/>
      <c r="FE874" s="58"/>
      <c r="FF874" s="58"/>
      <c r="FG874" s="58"/>
      <c r="FH874" s="58"/>
      <c r="FI874" s="58"/>
      <c r="FJ874" s="58"/>
      <c r="FK874" s="58"/>
      <c r="FL874" s="58"/>
      <c r="FM874" s="58"/>
    </row>
    <row r="875">
      <c r="ET875" s="58"/>
      <c r="EU875" s="58"/>
      <c r="EV875" s="58"/>
      <c r="EW875" s="58"/>
      <c r="EX875" s="58"/>
      <c r="EY875" s="58"/>
      <c r="EZ875" s="58"/>
      <c r="FA875" s="58"/>
      <c r="FB875" s="58"/>
      <c r="FC875" s="58"/>
      <c r="FD875" s="58"/>
      <c r="FE875" s="58"/>
      <c r="FF875" s="58"/>
      <c r="FG875" s="58"/>
      <c r="FH875" s="58"/>
      <c r="FI875" s="58"/>
      <c r="FJ875" s="58"/>
      <c r="FK875" s="58"/>
      <c r="FL875" s="58"/>
      <c r="FM875" s="58"/>
    </row>
    <row r="876">
      <c r="ET876" s="58"/>
      <c r="EU876" s="58"/>
      <c r="EV876" s="58"/>
      <c r="EW876" s="58"/>
      <c r="EX876" s="58"/>
      <c r="EY876" s="58"/>
      <c r="EZ876" s="58"/>
      <c r="FA876" s="58"/>
      <c r="FB876" s="58"/>
      <c r="FC876" s="58"/>
      <c r="FD876" s="58"/>
      <c r="FE876" s="58"/>
      <c r="FF876" s="58"/>
      <c r="FG876" s="58"/>
      <c r="FH876" s="58"/>
      <c r="FI876" s="58"/>
      <c r="FJ876" s="58"/>
      <c r="FK876" s="58"/>
      <c r="FL876" s="58"/>
      <c r="FM876" s="58"/>
    </row>
    <row r="877">
      <c r="ET877" s="58"/>
      <c r="EU877" s="58"/>
      <c r="EV877" s="58"/>
      <c r="EW877" s="58"/>
      <c r="EX877" s="58"/>
      <c r="EY877" s="58"/>
      <c r="EZ877" s="58"/>
      <c r="FA877" s="58"/>
      <c r="FB877" s="58"/>
      <c r="FC877" s="58"/>
      <c r="FD877" s="58"/>
      <c r="FE877" s="58"/>
      <c r="FF877" s="58"/>
      <c r="FG877" s="58"/>
      <c r="FH877" s="58"/>
      <c r="FI877" s="58"/>
      <c r="FJ877" s="58"/>
      <c r="FK877" s="58"/>
      <c r="FL877" s="58"/>
      <c r="FM877" s="58"/>
    </row>
    <row r="878">
      <c r="ET878" s="58"/>
      <c r="EU878" s="58"/>
      <c r="EV878" s="58"/>
      <c r="EW878" s="58"/>
      <c r="EX878" s="58"/>
      <c r="EY878" s="58"/>
      <c r="EZ878" s="58"/>
      <c r="FA878" s="58"/>
      <c r="FB878" s="58"/>
      <c r="FC878" s="58"/>
      <c r="FD878" s="58"/>
      <c r="FE878" s="58"/>
      <c r="FF878" s="58"/>
      <c r="FG878" s="58"/>
      <c r="FH878" s="58"/>
      <c r="FI878" s="58"/>
      <c r="FJ878" s="58"/>
      <c r="FK878" s="58"/>
      <c r="FL878" s="58"/>
      <c r="FM878" s="58"/>
    </row>
    <row r="879">
      <c r="ET879" s="58"/>
      <c r="EU879" s="58"/>
      <c r="EV879" s="58"/>
      <c r="EW879" s="58"/>
      <c r="EX879" s="58"/>
      <c r="EY879" s="58"/>
      <c r="EZ879" s="58"/>
      <c r="FA879" s="58"/>
      <c r="FB879" s="58"/>
      <c r="FC879" s="58"/>
      <c r="FD879" s="58"/>
      <c r="FE879" s="58"/>
      <c r="FF879" s="58"/>
      <c r="FG879" s="58"/>
      <c r="FH879" s="58"/>
      <c r="FI879" s="58"/>
      <c r="FJ879" s="58"/>
      <c r="FK879" s="58"/>
      <c r="FL879" s="58"/>
      <c r="FM879" s="58"/>
    </row>
    <row r="880">
      <c r="ET880" s="58"/>
      <c r="EU880" s="58"/>
      <c r="EV880" s="58"/>
      <c r="EW880" s="58"/>
      <c r="EX880" s="58"/>
      <c r="EY880" s="58"/>
      <c r="EZ880" s="58"/>
      <c r="FA880" s="58"/>
      <c r="FB880" s="58"/>
      <c r="FC880" s="58"/>
      <c r="FD880" s="58"/>
      <c r="FE880" s="58"/>
      <c r="FF880" s="58"/>
      <c r="FG880" s="58"/>
      <c r="FH880" s="58"/>
      <c r="FI880" s="58"/>
      <c r="FJ880" s="58"/>
      <c r="FK880" s="58"/>
      <c r="FL880" s="58"/>
      <c r="FM880" s="58"/>
    </row>
    <row r="881">
      <c r="ET881" s="58"/>
      <c r="EU881" s="58"/>
      <c r="EV881" s="58"/>
      <c r="EW881" s="58"/>
      <c r="EX881" s="58"/>
      <c r="EY881" s="58"/>
      <c r="EZ881" s="58"/>
      <c r="FA881" s="58"/>
      <c r="FB881" s="58"/>
      <c r="FC881" s="58"/>
      <c r="FD881" s="58"/>
      <c r="FE881" s="58"/>
      <c r="FF881" s="58"/>
      <c r="FG881" s="58"/>
      <c r="FH881" s="58"/>
      <c r="FI881" s="58"/>
      <c r="FJ881" s="58"/>
      <c r="FK881" s="58"/>
      <c r="FL881" s="58"/>
      <c r="FM881" s="58"/>
    </row>
    <row r="882">
      <c r="ET882" s="58"/>
      <c r="EU882" s="58"/>
      <c r="EV882" s="58"/>
      <c r="EW882" s="58"/>
      <c r="EX882" s="58"/>
      <c r="EY882" s="58"/>
      <c r="EZ882" s="58"/>
      <c r="FA882" s="58"/>
      <c r="FB882" s="58"/>
      <c r="FC882" s="58"/>
      <c r="FD882" s="58"/>
      <c r="FE882" s="58"/>
      <c r="FF882" s="58"/>
      <c r="FG882" s="58"/>
      <c r="FH882" s="58"/>
      <c r="FI882" s="58"/>
      <c r="FJ882" s="58"/>
      <c r="FK882" s="58"/>
      <c r="FL882" s="58"/>
      <c r="FM882" s="58"/>
    </row>
    <row r="883">
      <c r="ET883" s="58"/>
      <c r="EU883" s="58"/>
      <c r="EV883" s="58"/>
      <c r="EW883" s="58"/>
      <c r="EX883" s="58"/>
      <c r="EY883" s="58"/>
      <c r="EZ883" s="58"/>
      <c r="FA883" s="58"/>
      <c r="FB883" s="58"/>
      <c r="FC883" s="58"/>
      <c r="FD883" s="58"/>
      <c r="FE883" s="58"/>
      <c r="FF883" s="58"/>
      <c r="FG883" s="58"/>
      <c r="FH883" s="58"/>
      <c r="FI883" s="58"/>
      <c r="FJ883" s="58"/>
      <c r="FK883" s="58"/>
      <c r="FL883" s="58"/>
      <c r="FM883" s="58"/>
    </row>
    <row r="884">
      <c r="ET884" s="58"/>
      <c r="EU884" s="58"/>
      <c r="EV884" s="58"/>
      <c r="EW884" s="58"/>
      <c r="EX884" s="58"/>
      <c r="EY884" s="58"/>
      <c r="EZ884" s="58"/>
      <c r="FA884" s="58"/>
      <c r="FB884" s="58"/>
      <c r="FC884" s="58"/>
      <c r="FD884" s="58"/>
      <c r="FE884" s="58"/>
      <c r="FF884" s="58"/>
      <c r="FG884" s="58"/>
      <c r="FH884" s="58"/>
      <c r="FI884" s="58"/>
      <c r="FJ884" s="58"/>
      <c r="FK884" s="58"/>
      <c r="FL884" s="58"/>
      <c r="FM884" s="58"/>
    </row>
    <row r="885">
      <c r="ET885" s="58"/>
      <c r="EU885" s="58"/>
      <c r="EV885" s="58"/>
      <c r="EW885" s="58"/>
      <c r="EX885" s="58"/>
      <c r="EY885" s="58"/>
      <c r="EZ885" s="58"/>
      <c r="FA885" s="58"/>
      <c r="FB885" s="58"/>
      <c r="FC885" s="58"/>
      <c r="FD885" s="58"/>
      <c r="FE885" s="58"/>
      <c r="FF885" s="58"/>
      <c r="FG885" s="58"/>
      <c r="FH885" s="58"/>
      <c r="FI885" s="58"/>
      <c r="FJ885" s="58"/>
      <c r="FK885" s="58"/>
      <c r="FL885" s="58"/>
      <c r="FM885" s="58"/>
    </row>
    <row r="886">
      <c r="ET886" s="58"/>
      <c r="EU886" s="58"/>
      <c r="EV886" s="58"/>
      <c r="EW886" s="58"/>
      <c r="EX886" s="58"/>
      <c r="EY886" s="58"/>
      <c r="EZ886" s="58"/>
      <c r="FA886" s="58"/>
      <c r="FB886" s="58"/>
      <c r="FC886" s="58"/>
      <c r="FD886" s="58"/>
      <c r="FE886" s="58"/>
      <c r="FF886" s="58"/>
      <c r="FG886" s="58"/>
      <c r="FH886" s="58"/>
      <c r="FI886" s="58"/>
      <c r="FJ886" s="58"/>
      <c r="FK886" s="58"/>
      <c r="FL886" s="58"/>
      <c r="FM886" s="58"/>
    </row>
    <row r="887">
      <c r="ET887" s="58"/>
      <c r="EU887" s="58"/>
      <c r="EV887" s="58"/>
      <c r="EW887" s="58"/>
      <c r="EX887" s="58"/>
      <c r="EY887" s="58"/>
      <c r="EZ887" s="58"/>
      <c r="FA887" s="58"/>
      <c r="FB887" s="58"/>
      <c r="FC887" s="58"/>
      <c r="FD887" s="58"/>
      <c r="FE887" s="58"/>
      <c r="FF887" s="58"/>
      <c r="FG887" s="58"/>
      <c r="FH887" s="58"/>
      <c r="FI887" s="58"/>
      <c r="FJ887" s="58"/>
      <c r="FK887" s="58"/>
      <c r="FL887" s="58"/>
      <c r="FM887" s="58"/>
    </row>
    <row r="888">
      <c r="ET888" s="58"/>
      <c r="EU888" s="58"/>
      <c r="EV888" s="58"/>
      <c r="EW888" s="58"/>
      <c r="EX888" s="58"/>
      <c r="EY888" s="58"/>
      <c r="EZ888" s="58"/>
      <c r="FA888" s="58"/>
      <c r="FB888" s="58"/>
      <c r="FC888" s="58"/>
      <c r="FD888" s="58"/>
      <c r="FE888" s="58"/>
      <c r="FF888" s="58"/>
      <c r="FG888" s="58"/>
      <c r="FH888" s="58"/>
      <c r="FI888" s="58"/>
      <c r="FJ888" s="58"/>
      <c r="FK888" s="58"/>
      <c r="FL888" s="58"/>
      <c r="FM888" s="58"/>
    </row>
    <row r="889">
      <c r="ET889" s="58"/>
      <c r="EU889" s="58"/>
      <c r="EV889" s="58"/>
      <c r="EW889" s="58"/>
      <c r="EX889" s="58"/>
      <c r="EY889" s="58"/>
      <c r="EZ889" s="58"/>
      <c r="FA889" s="58"/>
      <c r="FB889" s="58"/>
      <c r="FC889" s="58"/>
      <c r="FD889" s="58"/>
      <c r="FE889" s="58"/>
      <c r="FF889" s="58"/>
      <c r="FG889" s="58"/>
      <c r="FH889" s="58"/>
      <c r="FI889" s="58"/>
      <c r="FJ889" s="58"/>
      <c r="FK889" s="58"/>
      <c r="FL889" s="58"/>
      <c r="FM889" s="58"/>
    </row>
    <row r="890">
      <c r="ET890" s="58"/>
      <c r="EU890" s="58"/>
      <c r="EV890" s="58"/>
      <c r="EW890" s="58"/>
      <c r="EX890" s="58"/>
      <c r="EY890" s="58"/>
      <c r="EZ890" s="58"/>
      <c r="FA890" s="58"/>
      <c r="FB890" s="58"/>
      <c r="FC890" s="58"/>
      <c r="FD890" s="58"/>
      <c r="FE890" s="58"/>
      <c r="FF890" s="58"/>
      <c r="FG890" s="58"/>
      <c r="FH890" s="58"/>
      <c r="FI890" s="58"/>
      <c r="FJ890" s="58"/>
      <c r="FK890" s="58"/>
      <c r="FL890" s="58"/>
      <c r="FM890" s="58"/>
    </row>
    <row r="891">
      <c r="ET891" s="58"/>
      <c r="EU891" s="58"/>
      <c r="EV891" s="58"/>
      <c r="EW891" s="58"/>
      <c r="EX891" s="58"/>
      <c r="EY891" s="58"/>
      <c r="EZ891" s="58"/>
      <c r="FA891" s="58"/>
      <c r="FB891" s="58"/>
      <c r="FC891" s="58"/>
      <c r="FD891" s="58"/>
      <c r="FE891" s="58"/>
      <c r="FF891" s="58"/>
      <c r="FG891" s="58"/>
      <c r="FH891" s="58"/>
      <c r="FI891" s="58"/>
      <c r="FJ891" s="58"/>
      <c r="FK891" s="58"/>
      <c r="FL891" s="58"/>
      <c r="FM891" s="58"/>
    </row>
    <row r="892">
      <c r="ET892" s="58"/>
      <c r="EU892" s="58"/>
      <c r="EV892" s="58"/>
      <c r="EW892" s="58"/>
      <c r="EX892" s="58"/>
      <c r="EY892" s="58"/>
      <c r="EZ892" s="58"/>
      <c r="FA892" s="58"/>
      <c r="FB892" s="58"/>
      <c r="FC892" s="58"/>
      <c r="FD892" s="58"/>
      <c r="FE892" s="58"/>
      <c r="FF892" s="58"/>
      <c r="FG892" s="58"/>
      <c r="FH892" s="58"/>
      <c r="FI892" s="58"/>
      <c r="FJ892" s="58"/>
      <c r="FK892" s="58"/>
      <c r="FL892" s="58"/>
      <c r="FM892" s="58"/>
    </row>
    <row r="893">
      <c r="ET893" s="58"/>
      <c r="EU893" s="58"/>
      <c r="EV893" s="58"/>
      <c r="EW893" s="58"/>
      <c r="EX893" s="58"/>
      <c r="EY893" s="58"/>
      <c r="EZ893" s="58"/>
      <c r="FA893" s="58"/>
      <c r="FB893" s="58"/>
      <c r="FC893" s="58"/>
      <c r="FD893" s="58"/>
      <c r="FE893" s="58"/>
      <c r="FF893" s="58"/>
      <c r="FG893" s="58"/>
      <c r="FH893" s="58"/>
      <c r="FI893" s="58"/>
      <c r="FJ893" s="58"/>
      <c r="FK893" s="58"/>
      <c r="FL893" s="58"/>
      <c r="FM893" s="58"/>
    </row>
    <row r="894">
      <c r="ET894" s="58"/>
      <c r="EU894" s="58"/>
      <c r="EV894" s="58"/>
      <c r="EW894" s="58"/>
      <c r="EX894" s="58"/>
      <c r="EY894" s="58"/>
      <c r="EZ894" s="58"/>
      <c r="FA894" s="58"/>
      <c r="FB894" s="58"/>
      <c r="FC894" s="58"/>
      <c r="FD894" s="58"/>
      <c r="FE894" s="58"/>
      <c r="FF894" s="58"/>
      <c r="FG894" s="58"/>
      <c r="FH894" s="58"/>
      <c r="FI894" s="58"/>
      <c r="FJ894" s="58"/>
      <c r="FK894" s="58"/>
      <c r="FL894" s="58"/>
      <c r="FM894" s="58"/>
    </row>
    <row r="895">
      <c r="ET895" s="58"/>
      <c r="EU895" s="58"/>
      <c r="EV895" s="58"/>
      <c r="EW895" s="58"/>
      <c r="EX895" s="58"/>
      <c r="EY895" s="58"/>
      <c r="EZ895" s="58"/>
      <c r="FA895" s="58"/>
      <c r="FB895" s="58"/>
      <c r="FC895" s="58"/>
      <c r="FD895" s="58"/>
      <c r="FE895" s="58"/>
      <c r="FF895" s="58"/>
      <c r="FG895" s="58"/>
      <c r="FH895" s="58"/>
      <c r="FI895" s="58"/>
      <c r="FJ895" s="58"/>
      <c r="FK895" s="58"/>
      <c r="FL895" s="58"/>
      <c r="FM895" s="58"/>
    </row>
    <row r="896">
      <c r="ET896" s="58"/>
      <c r="EU896" s="58"/>
      <c r="EV896" s="58"/>
      <c r="EW896" s="58"/>
      <c r="EX896" s="58"/>
      <c r="EY896" s="58"/>
      <c r="EZ896" s="58"/>
      <c r="FA896" s="58"/>
      <c r="FB896" s="58"/>
      <c r="FC896" s="58"/>
      <c r="FD896" s="58"/>
      <c r="FE896" s="58"/>
      <c r="FF896" s="58"/>
      <c r="FG896" s="58"/>
      <c r="FH896" s="58"/>
      <c r="FI896" s="58"/>
      <c r="FJ896" s="58"/>
      <c r="FK896" s="58"/>
      <c r="FL896" s="58"/>
      <c r="FM896" s="58"/>
    </row>
    <row r="897">
      <c r="ET897" s="58"/>
      <c r="EU897" s="58"/>
      <c r="EV897" s="58"/>
      <c r="EW897" s="58"/>
      <c r="EX897" s="58"/>
      <c r="EY897" s="58"/>
      <c r="EZ897" s="58"/>
      <c r="FA897" s="58"/>
      <c r="FB897" s="58"/>
      <c r="FC897" s="58"/>
      <c r="FD897" s="58"/>
      <c r="FE897" s="58"/>
      <c r="FF897" s="58"/>
      <c r="FG897" s="58"/>
      <c r="FH897" s="58"/>
      <c r="FI897" s="58"/>
      <c r="FJ897" s="58"/>
      <c r="FK897" s="58"/>
      <c r="FL897" s="58"/>
      <c r="FM897" s="58"/>
    </row>
    <row r="898">
      <c r="ET898" s="58"/>
      <c r="EU898" s="58"/>
      <c r="EV898" s="58"/>
      <c r="EW898" s="58"/>
      <c r="EX898" s="58"/>
      <c r="EY898" s="58"/>
      <c r="EZ898" s="58"/>
      <c r="FA898" s="58"/>
      <c r="FB898" s="58"/>
      <c r="FC898" s="58"/>
      <c r="FD898" s="58"/>
      <c r="FE898" s="58"/>
      <c r="FF898" s="58"/>
      <c r="FG898" s="58"/>
      <c r="FH898" s="58"/>
      <c r="FI898" s="58"/>
      <c r="FJ898" s="58"/>
      <c r="FK898" s="58"/>
      <c r="FL898" s="58"/>
      <c r="FM898" s="58"/>
    </row>
    <row r="899">
      <c r="ET899" s="58"/>
      <c r="EU899" s="58"/>
      <c r="EV899" s="58"/>
      <c r="EW899" s="58"/>
      <c r="EX899" s="58"/>
      <c r="EY899" s="58"/>
      <c r="EZ899" s="58"/>
      <c r="FA899" s="58"/>
      <c r="FB899" s="58"/>
      <c r="FC899" s="58"/>
      <c r="FD899" s="58"/>
      <c r="FE899" s="58"/>
      <c r="FF899" s="58"/>
      <c r="FG899" s="58"/>
      <c r="FH899" s="58"/>
      <c r="FI899" s="58"/>
      <c r="FJ899" s="58"/>
      <c r="FK899" s="58"/>
      <c r="FL899" s="58"/>
      <c r="FM899" s="58"/>
    </row>
    <row r="900">
      <c r="ET900" s="58"/>
      <c r="EU900" s="58"/>
      <c r="EV900" s="58"/>
      <c r="EW900" s="58"/>
      <c r="EX900" s="58"/>
      <c r="EY900" s="58"/>
      <c r="EZ900" s="58"/>
      <c r="FA900" s="58"/>
      <c r="FB900" s="58"/>
      <c r="FC900" s="58"/>
      <c r="FD900" s="58"/>
      <c r="FE900" s="58"/>
      <c r="FF900" s="58"/>
      <c r="FG900" s="58"/>
      <c r="FH900" s="58"/>
      <c r="FI900" s="58"/>
      <c r="FJ900" s="58"/>
      <c r="FK900" s="58"/>
      <c r="FL900" s="58"/>
      <c r="FM900" s="58"/>
    </row>
    <row r="901">
      <c r="ET901" s="58"/>
      <c r="EU901" s="58"/>
      <c r="EV901" s="58"/>
      <c r="EW901" s="58"/>
      <c r="EX901" s="58"/>
      <c r="EY901" s="58"/>
      <c r="EZ901" s="58"/>
      <c r="FA901" s="58"/>
      <c r="FB901" s="58"/>
      <c r="FC901" s="58"/>
      <c r="FD901" s="58"/>
      <c r="FE901" s="58"/>
      <c r="FF901" s="58"/>
      <c r="FG901" s="58"/>
      <c r="FH901" s="58"/>
      <c r="FI901" s="58"/>
      <c r="FJ901" s="58"/>
      <c r="FK901" s="58"/>
      <c r="FL901" s="58"/>
      <c r="FM901" s="58"/>
    </row>
    <row r="902">
      <c r="ET902" s="58"/>
      <c r="EU902" s="58"/>
      <c r="EV902" s="58"/>
      <c r="EW902" s="58"/>
      <c r="EX902" s="58"/>
      <c r="EY902" s="58"/>
      <c r="EZ902" s="58"/>
      <c r="FA902" s="58"/>
      <c r="FB902" s="58"/>
      <c r="FC902" s="58"/>
      <c r="FD902" s="58"/>
      <c r="FE902" s="58"/>
      <c r="FF902" s="58"/>
      <c r="FG902" s="58"/>
      <c r="FH902" s="58"/>
      <c r="FI902" s="58"/>
      <c r="FJ902" s="58"/>
      <c r="FK902" s="58"/>
      <c r="FL902" s="58"/>
      <c r="FM902" s="58"/>
    </row>
    <row r="903">
      <c r="ET903" s="58"/>
      <c r="EU903" s="58"/>
      <c r="EV903" s="58"/>
      <c r="EW903" s="58"/>
      <c r="EX903" s="58"/>
      <c r="EY903" s="58"/>
      <c r="EZ903" s="58"/>
      <c r="FA903" s="58"/>
      <c r="FB903" s="58"/>
      <c r="FC903" s="58"/>
      <c r="FD903" s="58"/>
      <c r="FE903" s="58"/>
      <c r="FF903" s="58"/>
      <c r="FG903" s="58"/>
      <c r="FH903" s="58"/>
      <c r="FI903" s="58"/>
      <c r="FJ903" s="58"/>
      <c r="FK903" s="58"/>
      <c r="FL903" s="58"/>
      <c r="FM903" s="58"/>
    </row>
    <row r="904">
      <c r="ET904" s="58"/>
      <c r="EU904" s="58"/>
      <c r="EV904" s="58"/>
      <c r="EW904" s="58"/>
      <c r="EX904" s="58"/>
      <c r="EY904" s="58"/>
      <c r="EZ904" s="58"/>
      <c r="FA904" s="58"/>
      <c r="FB904" s="58"/>
      <c r="FC904" s="58"/>
      <c r="FD904" s="58"/>
      <c r="FE904" s="58"/>
      <c r="FF904" s="58"/>
      <c r="FG904" s="58"/>
      <c r="FH904" s="58"/>
      <c r="FI904" s="58"/>
      <c r="FJ904" s="58"/>
      <c r="FK904" s="58"/>
      <c r="FL904" s="58"/>
      <c r="FM904" s="58"/>
    </row>
    <row r="905">
      <c r="ET905" s="58"/>
      <c r="EU905" s="58"/>
      <c r="EV905" s="58"/>
      <c r="EW905" s="58"/>
      <c r="EX905" s="58"/>
      <c r="EY905" s="58"/>
      <c r="EZ905" s="58"/>
      <c r="FA905" s="58"/>
      <c r="FB905" s="58"/>
      <c r="FC905" s="58"/>
      <c r="FD905" s="58"/>
      <c r="FE905" s="58"/>
      <c r="FF905" s="58"/>
      <c r="FG905" s="58"/>
      <c r="FH905" s="58"/>
      <c r="FI905" s="58"/>
      <c r="FJ905" s="58"/>
      <c r="FK905" s="58"/>
      <c r="FL905" s="58"/>
      <c r="FM905" s="58"/>
    </row>
    <row r="906">
      <c r="ET906" s="58"/>
      <c r="EU906" s="58"/>
      <c r="EV906" s="58"/>
      <c r="EW906" s="58"/>
      <c r="EX906" s="58"/>
      <c r="EY906" s="58"/>
      <c r="EZ906" s="58"/>
      <c r="FA906" s="58"/>
      <c r="FB906" s="58"/>
      <c r="FC906" s="58"/>
      <c r="FD906" s="58"/>
      <c r="FE906" s="58"/>
      <c r="FF906" s="58"/>
      <c r="FG906" s="58"/>
      <c r="FH906" s="58"/>
      <c r="FI906" s="58"/>
      <c r="FJ906" s="58"/>
      <c r="FK906" s="58"/>
      <c r="FL906" s="58"/>
      <c r="FM906" s="58"/>
    </row>
    <row r="907">
      <c r="ET907" s="58"/>
      <c r="EU907" s="58"/>
      <c r="EV907" s="58"/>
      <c r="EW907" s="58"/>
      <c r="EX907" s="58"/>
      <c r="EY907" s="58"/>
      <c r="EZ907" s="58"/>
      <c r="FA907" s="58"/>
      <c r="FB907" s="58"/>
      <c r="FC907" s="58"/>
      <c r="FD907" s="58"/>
      <c r="FE907" s="58"/>
      <c r="FF907" s="58"/>
      <c r="FG907" s="58"/>
      <c r="FH907" s="58"/>
      <c r="FI907" s="58"/>
      <c r="FJ907" s="58"/>
      <c r="FK907" s="58"/>
      <c r="FL907" s="58"/>
      <c r="FM907" s="58"/>
    </row>
    <row r="908">
      <c r="ET908" s="58"/>
      <c r="EU908" s="58"/>
      <c r="EV908" s="58"/>
      <c r="EW908" s="58"/>
      <c r="EX908" s="58"/>
      <c r="EY908" s="58"/>
      <c r="EZ908" s="58"/>
      <c r="FA908" s="58"/>
      <c r="FB908" s="58"/>
      <c r="FC908" s="58"/>
      <c r="FD908" s="58"/>
      <c r="FE908" s="58"/>
      <c r="FF908" s="58"/>
      <c r="FG908" s="58"/>
      <c r="FH908" s="58"/>
      <c r="FI908" s="58"/>
      <c r="FJ908" s="58"/>
      <c r="FK908" s="58"/>
      <c r="FL908" s="58"/>
      <c r="FM908" s="58"/>
    </row>
    <row r="909">
      <c r="ET909" s="58"/>
      <c r="EU909" s="58"/>
      <c r="EV909" s="58"/>
      <c r="EW909" s="58"/>
      <c r="EX909" s="58"/>
      <c r="EY909" s="58"/>
      <c r="EZ909" s="58"/>
      <c r="FA909" s="58"/>
      <c r="FB909" s="58"/>
      <c r="FC909" s="58"/>
      <c r="FD909" s="58"/>
      <c r="FE909" s="58"/>
      <c r="FF909" s="58"/>
      <c r="FG909" s="58"/>
      <c r="FH909" s="58"/>
      <c r="FI909" s="58"/>
      <c r="FJ909" s="58"/>
      <c r="FK909" s="58"/>
      <c r="FL909" s="58"/>
      <c r="FM909" s="58"/>
    </row>
    <row r="910">
      <c r="ET910" s="58"/>
      <c r="EU910" s="58"/>
      <c r="EV910" s="58"/>
      <c r="EW910" s="58"/>
      <c r="EX910" s="58"/>
      <c r="EY910" s="58"/>
      <c r="EZ910" s="58"/>
      <c r="FA910" s="58"/>
      <c r="FB910" s="58"/>
      <c r="FC910" s="58"/>
      <c r="FD910" s="58"/>
      <c r="FE910" s="58"/>
      <c r="FF910" s="58"/>
      <c r="FG910" s="58"/>
      <c r="FH910" s="58"/>
      <c r="FI910" s="58"/>
      <c r="FJ910" s="58"/>
      <c r="FK910" s="58"/>
      <c r="FL910" s="58"/>
      <c r="FM910" s="58"/>
    </row>
    <row r="911">
      <c r="ET911" s="58"/>
      <c r="EU911" s="58"/>
      <c r="EV911" s="58"/>
      <c r="EW911" s="58"/>
      <c r="EX911" s="58"/>
      <c r="EY911" s="58"/>
      <c r="EZ911" s="58"/>
      <c r="FA911" s="58"/>
      <c r="FB911" s="58"/>
      <c r="FC911" s="58"/>
      <c r="FD911" s="58"/>
      <c r="FE911" s="58"/>
      <c r="FF911" s="58"/>
      <c r="FG911" s="58"/>
      <c r="FH911" s="58"/>
      <c r="FI911" s="58"/>
      <c r="FJ911" s="58"/>
      <c r="FK911" s="58"/>
      <c r="FL911" s="58"/>
      <c r="FM911" s="58"/>
    </row>
    <row r="912">
      <c r="ET912" s="58"/>
      <c r="EU912" s="58"/>
      <c r="EV912" s="58"/>
      <c r="EW912" s="58"/>
      <c r="EX912" s="58"/>
      <c r="EY912" s="58"/>
      <c r="EZ912" s="58"/>
      <c r="FA912" s="58"/>
      <c r="FB912" s="58"/>
      <c r="FC912" s="58"/>
      <c r="FD912" s="58"/>
      <c r="FE912" s="58"/>
      <c r="FF912" s="58"/>
      <c r="FG912" s="58"/>
      <c r="FH912" s="58"/>
      <c r="FI912" s="58"/>
      <c r="FJ912" s="58"/>
      <c r="FK912" s="58"/>
      <c r="FL912" s="58"/>
      <c r="FM912" s="58"/>
    </row>
    <row r="913">
      <c r="ET913" s="58"/>
      <c r="EU913" s="58"/>
      <c r="EV913" s="58"/>
      <c r="EW913" s="58"/>
      <c r="EX913" s="58"/>
      <c r="EY913" s="58"/>
      <c r="EZ913" s="58"/>
      <c r="FA913" s="58"/>
      <c r="FB913" s="58"/>
      <c r="FC913" s="58"/>
      <c r="FD913" s="58"/>
      <c r="FE913" s="58"/>
      <c r="FF913" s="58"/>
      <c r="FG913" s="58"/>
      <c r="FH913" s="58"/>
      <c r="FI913" s="58"/>
      <c r="FJ913" s="58"/>
      <c r="FK913" s="58"/>
      <c r="FL913" s="58"/>
      <c r="FM913" s="58"/>
    </row>
    <row r="914">
      <c r="ET914" s="58"/>
      <c r="EU914" s="58"/>
      <c r="EV914" s="58"/>
      <c r="EW914" s="58"/>
      <c r="EX914" s="58"/>
      <c r="EY914" s="58"/>
      <c r="EZ914" s="58"/>
      <c r="FA914" s="58"/>
      <c r="FB914" s="58"/>
      <c r="FC914" s="58"/>
      <c r="FD914" s="58"/>
      <c r="FE914" s="58"/>
      <c r="FF914" s="58"/>
      <c r="FG914" s="58"/>
      <c r="FH914" s="58"/>
      <c r="FI914" s="58"/>
      <c r="FJ914" s="58"/>
      <c r="FK914" s="58"/>
      <c r="FL914" s="58"/>
      <c r="FM914" s="58"/>
    </row>
    <row r="915">
      <c r="ET915" s="58"/>
      <c r="EU915" s="58"/>
      <c r="EV915" s="58"/>
      <c r="EW915" s="58"/>
      <c r="EX915" s="58"/>
      <c r="EY915" s="58"/>
      <c r="EZ915" s="58"/>
      <c r="FA915" s="58"/>
      <c r="FB915" s="58"/>
      <c r="FC915" s="58"/>
      <c r="FD915" s="58"/>
      <c r="FE915" s="58"/>
      <c r="FF915" s="58"/>
      <c r="FG915" s="58"/>
      <c r="FH915" s="58"/>
      <c r="FI915" s="58"/>
      <c r="FJ915" s="58"/>
      <c r="FK915" s="58"/>
      <c r="FL915" s="58"/>
      <c r="FM915" s="58"/>
    </row>
    <row r="916">
      <c r="ET916" s="58"/>
      <c r="EU916" s="58"/>
      <c r="EV916" s="58"/>
      <c r="EW916" s="58"/>
      <c r="EX916" s="58"/>
      <c r="EY916" s="58"/>
      <c r="EZ916" s="58"/>
      <c r="FA916" s="58"/>
      <c r="FB916" s="58"/>
      <c r="FC916" s="58"/>
      <c r="FD916" s="58"/>
      <c r="FE916" s="58"/>
      <c r="FF916" s="58"/>
      <c r="FG916" s="58"/>
      <c r="FH916" s="58"/>
      <c r="FI916" s="58"/>
      <c r="FJ916" s="58"/>
      <c r="FK916" s="58"/>
      <c r="FL916" s="58"/>
      <c r="FM916" s="58"/>
    </row>
    <row r="917">
      <c r="ET917" s="58"/>
      <c r="EU917" s="58"/>
      <c r="EV917" s="58"/>
      <c r="EW917" s="58"/>
      <c r="EX917" s="58"/>
      <c r="EY917" s="58"/>
      <c r="EZ917" s="58"/>
      <c r="FA917" s="58"/>
      <c r="FB917" s="58"/>
      <c r="FC917" s="58"/>
      <c r="FD917" s="58"/>
      <c r="FE917" s="58"/>
      <c r="FF917" s="58"/>
      <c r="FG917" s="58"/>
      <c r="FH917" s="58"/>
      <c r="FI917" s="58"/>
      <c r="FJ917" s="58"/>
      <c r="FK917" s="58"/>
      <c r="FL917" s="58"/>
      <c r="FM917" s="58"/>
    </row>
    <row r="918">
      <c r="ET918" s="58"/>
      <c r="EU918" s="58"/>
      <c r="EV918" s="58"/>
      <c r="EW918" s="58"/>
      <c r="EX918" s="58"/>
      <c r="EY918" s="58"/>
      <c r="EZ918" s="58"/>
      <c r="FA918" s="58"/>
      <c r="FB918" s="58"/>
      <c r="FC918" s="58"/>
      <c r="FD918" s="58"/>
      <c r="FE918" s="58"/>
      <c r="FF918" s="58"/>
      <c r="FG918" s="58"/>
      <c r="FH918" s="58"/>
      <c r="FI918" s="58"/>
      <c r="FJ918" s="58"/>
      <c r="FK918" s="58"/>
      <c r="FL918" s="58"/>
      <c r="FM918" s="58"/>
    </row>
    <row r="919">
      <c r="ET919" s="58"/>
      <c r="EU919" s="58"/>
      <c r="EV919" s="58"/>
      <c r="EW919" s="58"/>
      <c r="EX919" s="58"/>
      <c r="EY919" s="58"/>
      <c r="EZ919" s="58"/>
      <c r="FA919" s="58"/>
      <c r="FB919" s="58"/>
      <c r="FC919" s="58"/>
      <c r="FD919" s="58"/>
      <c r="FE919" s="58"/>
      <c r="FF919" s="58"/>
      <c r="FG919" s="58"/>
      <c r="FH919" s="58"/>
      <c r="FI919" s="58"/>
      <c r="FJ919" s="58"/>
      <c r="FK919" s="58"/>
      <c r="FL919" s="58"/>
      <c r="FM919" s="58"/>
    </row>
    <row r="920">
      <c r="ET920" s="58"/>
      <c r="EU920" s="58"/>
      <c r="EV920" s="58"/>
      <c r="EW920" s="58"/>
      <c r="EX920" s="58"/>
      <c r="EY920" s="58"/>
      <c r="EZ920" s="58"/>
      <c r="FA920" s="58"/>
      <c r="FB920" s="58"/>
      <c r="FC920" s="58"/>
      <c r="FD920" s="58"/>
      <c r="FE920" s="58"/>
      <c r="FF920" s="58"/>
      <c r="FG920" s="58"/>
      <c r="FH920" s="58"/>
      <c r="FI920" s="58"/>
      <c r="FJ920" s="58"/>
      <c r="FK920" s="58"/>
      <c r="FL920" s="58"/>
      <c r="FM920" s="58"/>
    </row>
    <row r="921">
      <c r="ET921" s="58"/>
      <c r="EU921" s="58"/>
      <c r="EV921" s="58"/>
      <c r="EW921" s="58"/>
      <c r="EX921" s="58"/>
      <c r="EY921" s="58"/>
      <c r="EZ921" s="58"/>
      <c r="FA921" s="58"/>
      <c r="FB921" s="58"/>
      <c r="FC921" s="58"/>
      <c r="FD921" s="58"/>
      <c r="FE921" s="58"/>
      <c r="FF921" s="58"/>
      <c r="FG921" s="58"/>
      <c r="FH921" s="58"/>
      <c r="FI921" s="58"/>
      <c r="FJ921" s="58"/>
      <c r="FK921" s="58"/>
      <c r="FL921" s="58"/>
      <c r="FM921" s="58"/>
    </row>
    <row r="922">
      <c r="ET922" s="58"/>
      <c r="EU922" s="58"/>
      <c r="EV922" s="58"/>
      <c r="EW922" s="58"/>
      <c r="EX922" s="58"/>
      <c r="EY922" s="58"/>
      <c r="EZ922" s="58"/>
      <c r="FA922" s="58"/>
      <c r="FB922" s="58"/>
      <c r="FC922" s="58"/>
      <c r="FD922" s="58"/>
      <c r="FE922" s="58"/>
      <c r="FF922" s="58"/>
      <c r="FG922" s="58"/>
      <c r="FH922" s="58"/>
      <c r="FI922" s="58"/>
      <c r="FJ922" s="58"/>
      <c r="FK922" s="58"/>
      <c r="FL922" s="58"/>
      <c r="FM922" s="58"/>
    </row>
    <row r="923">
      <c r="ET923" s="58"/>
      <c r="EU923" s="58"/>
      <c r="EV923" s="58"/>
      <c r="EW923" s="58"/>
      <c r="EX923" s="58"/>
      <c r="EY923" s="58"/>
      <c r="EZ923" s="58"/>
      <c r="FA923" s="58"/>
      <c r="FB923" s="58"/>
      <c r="FC923" s="58"/>
      <c r="FD923" s="58"/>
      <c r="FE923" s="58"/>
      <c r="FF923" s="58"/>
      <c r="FG923" s="58"/>
      <c r="FH923" s="58"/>
      <c r="FI923" s="58"/>
      <c r="FJ923" s="58"/>
      <c r="FK923" s="58"/>
      <c r="FL923" s="58"/>
      <c r="FM923" s="58"/>
    </row>
    <row r="924">
      <c r="ET924" s="58"/>
      <c r="EU924" s="58"/>
      <c r="EV924" s="58"/>
      <c r="EW924" s="58"/>
      <c r="EX924" s="58"/>
      <c r="EY924" s="58"/>
      <c r="EZ924" s="58"/>
      <c r="FA924" s="58"/>
      <c r="FB924" s="58"/>
      <c r="FC924" s="58"/>
      <c r="FD924" s="58"/>
      <c r="FE924" s="58"/>
      <c r="FF924" s="58"/>
      <c r="FG924" s="58"/>
      <c r="FH924" s="58"/>
      <c r="FI924" s="58"/>
      <c r="FJ924" s="58"/>
      <c r="FK924" s="58"/>
      <c r="FL924" s="58"/>
      <c r="FM924" s="58"/>
    </row>
    <row r="925">
      <c r="ET925" s="58"/>
      <c r="EU925" s="58"/>
      <c r="EV925" s="58"/>
      <c r="EW925" s="58"/>
      <c r="EX925" s="58"/>
      <c r="EY925" s="58"/>
      <c r="EZ925" s="58"/>
      <c r="FA925" s="58"/>
      <c r="FB925" s="58"/>
      <c r="FC925" s="58"/>
      <c r="FD925" s="58"/>
      <c r="FE925" s="58"/>
      <c r="FF925" s="58"/>
      <c r="FG925" s="58"/>
      <c r="FH925" s="58"/>
      <c r="FI925" s="58"/>
      <c r="FJ925" s="58"/>
      <c r="FK925" s="58"/>
      <c r="FL925" s="58"/>
      <c r="FM925" s="58"/>
    </row>
    <row r="926">
      <c r="ET926" s="58"/>
      <c r="EU926" s="58"/>
      <c r="EV926" s="58"/>
      <c r="EW926" s="58"/>
      <c r="EX926" s="58"/>
      <c r="EY926" s="58"/>
      <c r="EZ926" s="58"/>
      <c r="FA926" s="58"/>
      <c r="FB926" s="58"/>
      <c r="FC926" s="58"/>
      <c r="FD926" s="58"/>
      <c r="FE926" s="58"/>
      <c r="FF926" s="58"/>
      <c r="FG926" s="58"/>
      <c r="FH926" s="58"/>
      <c r="FI926" s="58"/>
      <c r="FJ926" s="58"/>
      <c r="FK926" s="58"/>
      <c r="FL926" s="58"/>
      <c r="FM926" s="58"/>
    </row>
    <row r="927">
      <c r="ET927" s="58"/>
      <c r="EU927" s="58"/>
      <c r="EV927" s="58"/>
      <c r="EW927" s="58"/>
      <c r="EX927" s="58"/>
      <c r="EY927" s="58"/>
      <c r="EZ927" s="58"/>
      <c r="FA927" s="58"/>
      <c r="FB927" s="58"/>
      <c r="FC927" s="58"/>
      <c r="FD927" s="58"/>
      <c r="FE927" s="58"/>
      <c r="FF927" s="58"/>
      <c r="FG927" s="58"/>
      <c r="FH927" s="58"/>
      <c r="FI927" s="58"/>
      <c r="FJ927" s="58"/>
      <c r="FK927" s="58"/>
      <c r="FL927" s="58"/>
      <c r="FM927" s="58"/>
    </row>
    <row r="928">
      <c r="ET928" s="58"/>
      <c r="EU928" s="58"/>
      <c r="EV928" s="58"/>
      <c r="EW928" s="58"/>
      <c r="EX928" s="58"/>
      <c r="EY928" s="58"/>
      <c r="EZ928" s="58"/>
      <c r="FA928" s="58"/>
      <c r="FB928" s="58"/>
      <c r="FC928" s="58"/>
      <c r="FD928" s="58"/>
      <c r="FE928" s="58"/>
      <c r="FF928" s="58"/>
      <c r="FG928" s="58"/>
      <c r="FH928" s="58"/>
      <c r="FI928" s="58"/>
      <c r="FJ928" s="58"/>
      <c r="FK928" s="58"/>
      <c r="FL928" s="58"/>
      <c r="FM928" s="58"/>
    </row>
    <row r="929">
      <c r="ET929" s="58"/>
      <c r="EU929" s="58"/>
      <c r="EV929" s="58"/>
      <c r="EW929" s="58"/>
      <c r="EX929" s="58"/>
      <c r="EY929" s="58"/>
      <c r="EZ929" s="58"/>
      <c r="FA929" s="58"/>
      <c r="FB929" s="58"/>
      <c r="FC929" s="58"/>
      <c r="FD929" s="58"/>
      <c r="FE929" s="58"/>
      <c r="FF929" s="58"/>
      <c r="FG929" s="58"/>
      <c r="FH929" s="58"/>
      <c r="FI929" s="58"/>
      <c r="FJ929" s="58"/>
      <c r="FK929" s="58"/>
      <c r="FL929" s="58"/>
      <c r="FM929" s="58"/>
    </row>
    <row r="930">
      <c r="ET930" s="58"/>
      <c r="EU930" s="58"/>
      <c r="EV930" s="58"/>
      <c r="EW930" s="58"/>
      <c r="EX930" s="58"/>
      <c r="EY930" s="58"/>
      <c r="EZ930" s="58"/>
      <c r="FA930" s="58"/>
      <c r="FB930" s="58"/>
      <c r="FC930" s="58"/>
      <c r="FD930" s="58"/>
      <c r="FE930" s="58"/>
      <c r="FF930" s="58"/>
      <c r="FG930" s="58"/>
      <c r="FH930" s="58"/>
      <c r="FI930" s="58"/>
      <c r="FJ930" s="58"/>
      <c r="FK930" s="58"/>
      <c r="FL930" s="58"/>
      <c r="FM930" s="58"/>
    </row>
    <row r="931">
      <c r="ET931" s="58"/>
      <c r="EU931" s="58"/>
      <c r="EV931" s="58"/>
      <c r="EW931" s="58"/>
      <c r="EX931" s="58"/>
      <c r="EY931" s="58"/>
      <c r="EZ931" s="58"/>
      <c r="FA931" s="58"/>
      <c r="FB931" s="58"/>
      <c r="FC931" s="58"/>
      <c r="FD931" s="58"/>
      <c r="FE931" s="58"/>
      <c r="FF931" s="58"/>
      <c r="FG931" s="58"/>
      <c r="FH931" s="58"/>
      <c r="FI931" s="58"/>
      <c r="FJ931" s="58"/>
      <c r="FK931" s="58"/>
      <c r="FL931" s="58"/>
      <c r="FM931" s="58"/>
    </row>
    <row r="932">
      <c r="ET932" s="58"/>
      <c r="EU932" s="58"/>
      <c r="EV932" s="58"/>
      <c r="EW932" s="58"/>
      <c r="EX932" s="58"/>
      <c r="EY932" s="58"/>
      <c r="EZ932" s="58"/>
      <c r="FA932" s="58"/>
      <c r="FB932" s="58"/>
      <c r="FC932" s="58"/>
      <c r="FD932" s="58"/>
      <c r="FE932" s="58"/>
      <c r="FF932" s="58"/>
      <c r="FG932" s="58"/>
      <c r="FH932" s="58"/>
      <c r="FI932" s="58"/>
      <c r="FJ932" s="58"/>
      <c r="FK932" s="58"/>
      <c r="FL932" s="58"/>
      <c r="FM932" s="58"/>
    </row>
    <row r="933">
      <c r="ET933" s="58"/>
      <c r="EU933" s="58"/>
      <c r="EV933" s="58"/>
      <c r="EW933" s="58"/>
      <c r="EX933" s="58"/>
      <c r="EY933" s="58"/>
      <c r="EZ933" s="58"/>
      <c r="FA933" s="58"/>
      <c r="FB933" s="58"/>
      <c r="FC933" s="58"/>
      <c r="FD933" s="58"/>
      <c r="FE933" s="58"/>
      <c r="FF933" s="58"/>
      <c r="FG933" s="58"/>
      <c r="FH933" s="58"/>
      <c r="FI933" s="58"/>
      <c r="FJ933" s="58"/>
      <c r="FK933" s="58"/>
      <c r="FL933" s="58"/>
      <c r="FM933" s="58"/>
    </row>
    <row r="934">
      <c r="ET934" s="58"/>
      <c r="EU934" s="58"/>
      <c r="EV934" s="58"/>
      <c r="EW934" s="58"/>
      <c r="EX934" s="58"/>
      <c r="EY934" s="58"/>
      <c r="EZ934" s="58"/>
      <c r="FA934" s="58"/>
      <c r="FB934" s="58"/>
      <c r="FC934" s="58"/>
      <c r="FD934" s="58"/>
      <c r="FE934" s="58"/>
      <c r="FF934" s="58"/>
      <c r="FG934" s="58"/>
      <c r="FH934" s="58"/>
      <c r="FI934" s="58"/>
      <c r="FJ934" s="58"/>
      <c r="FK934" s="58"/>
      <c r="FL934" s="58"/>
      <c r="FM934" s="58"/>
    </row>
    <row r="935">
      <c r="ET935" s="58"/>
      <c r="EU935" s="58"/>
      <c r="EV935" s="58"/>
      <c r="EW935" s="58"/>
      <c r="EX935" s="58"/>
      <c r="EY935" s="58"/>
      <c r="EZ935" s="58"/>
      <c r="FA935" s="58"/>
      <c r="FB935" s="58"/>
      <c r="FC935" s="58"/>
      <c r="FD935" s="58"/>
      <c r="FE935" s="58"/>
      <c r="FF935" s="58"/>
      <c r="FG935" s="58"/>
      <c r="FH935" s="58"/>
      <c r="FI935" s="58"/>
      <c r="FJ935" s="58"/>
      <c r="FK935" s="58"/>
      <c r="FL935" s="58"/>
      <c r="FM935" s="58"/>
    </row>
    <row r="936">
      <c r="ET936" s="58"/>
      <c r="EU936" s="58"/>
      <c r="EV936" s="58"/>
      <c r="EW936" s="58"/>
      <c r="EX936" s="58"/>
      <c r="EY936" s="58"/>
      <c r="EZ936" s="58"/>
      <c r="FA936" s="58"/>
      <c r="FB936" s="58"/>
      <c r="FC936" s="58"/>
      <c r="FD936" s="58"/>
      <c r="FE936" s="58"/>
      <c r="FF936" s="58"/>
      <c r="FG936" s="58"/>
      <c r="FH936" s="58"/>
      <c r="FI936" s="58"/>
      <c r="FJ936" s="58"/>
      <c r="FK936" s="58"/>
      <c r="FL936" s="58"/>
      <c r="FM936" s="58"/>
    </row>
    <row r="937">
      <c r="ET937" s="58"/>
      <c r="EU937" s="58"/>
      <c r="EV937" s="58"/>
      <c r="EW937" s="58"/>
      <c r="EX937" s="58"/>
      <c r="EY937" s="58"/>
      <c r="EZ937" s="58"/>
      <c r="FA937" s="58"/>
      <c r="FB937" s="58"/>
      <c r="FC937" s="58"/>
      <c r="FD937" s="58"/>
      <c r="FE937" s="58"/>
      <c r="FF937" s="58"/>
      <c r="FG937" s="58"/>
      <c r="FH937" s="58"/>
      <c r="FI937" s="58"/>
      <c r="FJ937" s="58"/>
      <c r="FK937" s="58"/>
      <c r="FL937" s="58"/>
      <c r="FM937" s="58"/>
    </row>
    <row r="938">
      <c r="ET938" s="58"/>
      <c r="EU938" s="58"/>
      <c r="EV938" s="58"/>
      <c r="EW938" s="58"/>
      <c r="EX938" s="58"/>
      <c r="EY938" s="58"/>
      <c r="EZ938" s="58"/>
      <c r="FA938" s="58"/>
      <c r="FB938" s="58"/>
      <c r="FC938" s="58"/>
      <c r="FD938" s="58"/>
      <c r="FE938" s="58"/>
      <c r="FF938" s="58"/>
      <c r="FG938" s="58"/>
      <c r="FH938" s="58"/>
      <c r="FI938" s="58"/>
      <c r="FJ938" s="58"/>
      <c r="FK938" s="58"/>
      <c r="FL938" s="58"/>
      <c r="FM938" s="58"/>
    </row>
    <row r="939">
      <c r="ET939" s="58"/>
      <c r="EU939" s="58"/>
      <c r="EV939" s="58"/>
      <c r="EW939" s="58"/>
      <c r="EX939" s="58"/>
      <c r="EY939" s="58"/>
      <c r="EZ939" s="58"/>
      <c r="FA939" s="58"/>
      <c r="FB939" s="58"/>
      <c r="FC939" s="58"/>
      <c r="FD939" s="58"/>
      <c r="FE939" s="58"/>
      <c r="FF939" s="58"/>
      <c r="FG939" s="58"/>
      <c r="FH939" s="58"/>
      <c r="FI939" s="58"/>
      <c r="FJ939" s="58"/>
      <c r="FK939" s="58"/>
      <c r="FL939" s="58"/>
      <c r="FM939" s="58"/>
    </row>
    <row r="940">
      <c r="ET940" s="58"/>
      <c r="EU940" s="58"/>
      <c r="EV940" s="58"/>
      <c r="EW940" s="58"/>
      <c r="EX940" s="58"/>
      <c r="EY940" s="58"/>
      <c r="EZ940" s="58"/>
      <c r="FA940" s="58"/>
      <c r="FB940" s="58"/>
      <c r="FC940" s="58"/>
      <c r="FD940" s="58"/>
      <c r="FE940" s="58"/>
      <c r="FF940" s="58"/>
      <c r="FG940" s="58"/>
      <c r="FH940" s="58"/>
      <c r="FI940" s="58"/>
      <c r="FJ940" s="58"/>
      <c r="FK940" s="58"/>
      <c r="FL940" s="58"/>
      <c r="FM940" s="58"/>
    </row>
    <row r="941">
      <c r="ET941" s="58"/>
      <c r="EU941" s="58"/>
      <c r="EV941" s="58"/>
      <c r="EW941" s="58"/>
      <c r="EX941" s="58"/>
      <c r="EY941" s="58"/>
      <c r="EZ941" s="58"/>
      <c r="FA941" s="58"/>
      <c r="FB941" s="58"/>
      <c r="FC941" s="58"/>
      <c r="FD941" s="58"/>
      <c r="FE941" s="58"/>
      <c r="FF941" s="58"/>
      <c r="FG941" s="58"/>
      <c r="FH941" s="58"/>
      <c r="FI941" s="58"/>
      <c r="FJ941" s="58"/>
      <c r="FK941" s="58"/>
      <c r="FL941" s="58"/>
      <c r="FM941" s="58"/>
    </row>
    <row r="942">
      <c r="ET942" s="58"/>
      <c r="EU942" s="58"/>
      <c r="EV942" s="58"/>
      <c r="EW942" s="58"/>
      <c r="EX942" s="58"/>
      <c r="EY942" s="58"/>
      <c r="EZ942" s="58"/>
      <c r="FA942" s="58"/>
      <c r="FB942" s="58"/>
      <c r="FC942" s="58"/>
      <c r="FD942" s="58"/>
      <c r="FE942" s="58"/>
      <c r="FF942" s="58"/>
      <c r="FG942" s="58"/>
      <c r="FH942" s="58"/>
      <c r="FI942" s="58"/>
      <c r="FJ942" s="58"/>
      <c r="FK942" s="58"/>
      <c r="FL942" s="58"/>
      <c r="FM942" s="58"/>
    </row>
    <row r="943">
      <c r="ET943" s="58"/>
      <c r="EU943" s="58"/>
      <c r="EV943" s="58"/>
      <c r="EW943" s="58"/>
      <c r="EX943" s="58"/>
      <c r="EY943" s="58"/>
      <c r="EZ943" s="58"/>
      <c r="FA943" s="58"/>
      <c r="FB943" s="58"/>
      <c r="FC943" s="58"/>
      <c r="FD943" s="58"/>
      <c r="FE943" s="58"/>
      <c r="FF943" s="58"/>
      <c r="FG943" s="58"/>
      <c r="FH943" s="58"/>
      <c r="FI943" s="58"/>
      <c r="FJ943" s="58"/>
      <c r="FK943" s="58"/>
      <c r="FL943" s="58"/>
      <c r="FM943" s="58"/>
    </row>
    <row r="944">
      <c r="ET944" s="58"/>
      <c r="EU944" s="58"/>
      <c r="EV944" s="58"/>
      <c r="EW944" s="58"/>
      <c r="EX944" s="58"/>
      <c r="EY944" s="58"/>
      <c r="EZ944" s="58"/>
      <c r="FA944" s="58"/>
      <c r="FB944" s="58"/>
      <c r="FC944" s="58"/>
      <c r="FD944" s="58"/>
      <c r="FE944" s="58"/>
      <c r="FF944" s="58"/>
      <c r="FG944" s="58"/>
      <c r="FH944" s="58"/>
      <c r="FI944" s="58"/>
      <c r="FJ944" s="58"/>
      <c r="FK944" s="58"/>
      <c r="FL944" s="58"/>
      <c r="FM944" s="58"/>
    </row>
    <row r="945">
      <c r="ET945" s="58"/>
      <c r="EU945" s="58"/>
      <c r="EV945" s="58"/>
      <c r="EW945" s="58"/>
      <c r="EX945" s="58"/>
      <c r="EY945" s="58"/>
      <c r="EZ945" s="58"/>
      <c r="FA945" s="58"/>
      <c r="FB945" s="58"/>
      <c r="FC945" s="58"/>
      <c r="FD945" s="58"/>
      <c r="FE945" s="58"/>
      <c r="FF945" s="58"/>
      <c r="FG945" s="58"/>
      <c r="FH945" s="58"/>
      <c r="FI945" s="58"/>
      <c r="FJ945" s="58"/>
      <c r="FK945" s="58"/>
      <c r="FL945" s="58"/>
      <c r="FM945" s="58"/>
    </row>
    <row r="946">
      <c r="ET946" s="58"/>
      <c r="EU946" s="58"/>
      <c r="EV946" s="58"/>
      <c r="EW946" s="58"/>
      <c r="EX946" s="58"/>
      <c r="EY946" s="58"/>
      <c r="EZ946" s="58"/>
      <c r="FA946" s="58"/>
      <c r="FB946" s="58"/>
      <c r="FC946" s="58"/>
      <c r="FD946" s="58"/>
      <c r="FE946" s="58"/>
      <c r="FF946" s="58"/>
      <c r="FG946" s="58"/>
      <c r="FH946" s="58"/>
      <c r="FI946" s="58"/>
      <c r="FJ946" s="58"/>
      <c r="FK946" s="58"/>
      <c r="FL946" s="58"/>
      <c r="FM946" s="58"/>
    </row>
    <row r="947">
      <c r="ET947" s="58"/>
      <c r="EU947" s="58"/>
      <c r="EV947" s="58"/>
      <c r="EW947" s="58"/>
      <c r="EX947" s="58"/>
      <c r="EY947" s="58"/>
      <c r="EZ947" s="58"/>
      <c r="FA947" s="58"/>
      <c r="FB947" s="58"/>
      <c r="FC947" s="58"/>
      <c r="FD947" s="58"/>
      <c r="FE947" s="58"/>
      <c r="FF947" s="58"/>
      <c r="FG947" s="58"/>
      <c r="FH947" s="58"/>
      <c r="FI947" s="58"/>
      <c r="FJ947" s="58"/>
      <c r="FK947" s="58"/>
      <c r="FL947" s="58"/>
      <c r="FM947" s="58"/>
    </row>
    <row r="948">
      <c r="ET948" s="58"/>
      <c r="EU948" s="58"/>
      <c r="EV948" s="58"/>
      <c r="EW948" s="58"/>
      <c r="EX948" s="58"/>
      <c r="EY948" s="58"/>
      <c r="EZ948" s="58"/>
      <c r="FA948" s="58"/>
      <c r="FB948" s="58"/>
      <c r="FC948" s="58"/>
      <c r="FD948" s="58"/>
      <c r="FE948" s="58"/>
      <c r="FF948" s="58"/>
      <c r="FG948" s="58"/>
      <c r="FH948" s="58"/>
      <c r="FI948" s="58"/>
      <c r="FJ948" s="58"/>
      <c r="FK948" s="58"/>
      <c r="FL948" s="58"/>
      <c r="FM948" s="58"/>
    </row>
    <row r="949">
      <c r="ET949" s="58"/>
      <c r="EU949" s="58"/>
      <c r="EV949" s="58"/>
      <c r="EW949" s="58"/>
      <c r="EX949" s="58"/>
      <c r="EY949" s="58"/>
      <c r="EZ949" s="58"/>
      <c r="FA949" s="58"/>
      <c r="FB949" s="58"/>
      <c r="FC949" s="58"/>
      <c r="FD949" s="58"/>
      <c r="FE949" s="58"/>
      <c r="FF949" s="58"/>
      <c r="FG949" s="58"/>
      <c r="FH949" s="58"/>
      <c r="FI949" s="58"/>
      <c r="FJ949" s="58"/>
      <c r="FK949" s="58"/>
      <c r="FL949" s="58"/>
      <c r="FM949" s="58"/>
    </row>
    <row r="950">
      <c r="ET950" s="58"/>
      <c r="EU950" s="58"/>
      <c r="EV950" s="58"/>
      <c r="EW950" s="58"/>
      <c r="EX950" s="58"/>
      <c r="EY950" s="58"/>
      <c r="EZ950" s="58"/>
      <c r="FA950" s="58"/>
      <c r="FB950" s="58"/>
      <c r="FC950" s="58"/>
      <c r="FD950" s="58"/>
      <c r="FE950" s="58"/>
      <c r="FF950" s="58"/>
      <c r="FG950" s="58"/>
      <c r="FH950" s="58"/>
      <c r="FI950" s="58"/>
      <c r="FJ950" s="58"/>
      <c r="FK950" s="58"/>
      <c r="FL950" s="58"/>
      <c r="FM950" s="58"/>
    </row>
    <row r="951">
      <c r="ET951" s="58"/>
      <c r="EU951" s="58"/>
      <c r="EV951" s="58"/>
      <c r="EW951" s="58"/>
      <c r="EX951" s="58"/>
      <c r="EY951" s="58"/>
      <c r="EZ951" s="58"/>
      <c r="FA951" s="58"/>
      <c r="FB951" s="58"/>
      <c r="FC951" s="58"/>
      <c r="FD951" s="58"/>
      <c r="FE951" s="58"/>
      <c r="FF951" s="58"/>
      <c r="FG951" s="58"/>
      <c r="FH951" s="58"/>
      <c r="FI951" s="58"/>
      <c r="FJ951" s="58"/>
      <c r="FK951" s="58"/>
      <c r="FL951" s="58"/>
      <c r="FM951" s="58"/>
    </row>
    <row r="952">
      <c r="ET952" s="58"/>
      <c r="EU952" s="58"/>
      <c r="EV952" s="58"/>
      <c r="EW952" s="58"/>
      <c r="EX952" s="58"/>
      <c r="EY952" s="58"/>
      <c r="EZ952" s="58"/>
      <c r="FA952" s="58"/>
      <c r="FB952" s="58"/>
      <c r="FC952" s="58"/>
      <c r="FD952" s="58"/>
      <c r="FE952" s="58"/>
      <c r="FF952" s="58"/>
      <c r="FG952" s="58"/>
      <c r="FH952" s="58"/>
      <c r="FI952" s="58"/>
      <c r="FJ952" s="58"/>
      <c r="FK952" s="58"/>
      <c r="FL952" s="58"/>
      <c r="FM952" s="58"/>
    </row>
    <row r="953">
      <c r="ET953" s="58"/>
      <c r="EU953" s="58"/>
      <c r="EV953" s="58"/>
      <c r="EW953" s="58"/>
      <c r="EX953" s="58"/>
      <c r="EY953" s="58"/>
      <c r="EZ953" s="58"/>
      <c r="FA953" s="58"/>
      <c r="FB953" s="58"/>
      <c r="FC953" s="58"/>
      <c r="FD953" s="58"/>
      <c r="FE953" s="58"/>
      <c r="FF953" s="58"/>
      <c r="FG953" s="58"/>
      <c r="FH953" s="58"/>
      <c r="FI953" s="58"/>
      <c r="FJ953" s="58"/>
      <c r="FK953" s="58"/>
      <c r="FL953" s="58"/>
      <c r="FM953" s="58"/>
    </row>
    <row r="954">
      <c r="ET954" s="58"/>
      <c r="EU954" s="58"/>
      <c r="EV954" s="58"/>
      <c r="EW954" s="58"/>
      <c r="EX954" s="58"/>
      <c r="EY954" s="58"/>
      <c r="EZ954" s="58"/>
      <c r="FA954" s="58"/>
      <c r="FB954" s="58"/>
      <c r="FC954" s="58"/>
      <c r="FD954" s="58"/>
      <c r="FE954" s="58"/>
      <c r="FF954" s="58"/>
      <c r="FG954" s="58"/>
      <c r="FH954" s="58"/>
      <c r="FI954" s="58"/>
      <c r="FJ954" s="58"/>
      <c r="FK954" s="58"/>
      <c r="FL954" s="58"/>
      <c r="FM954" s="58"/>
    </row>
    <row r="955">
      <c r="ET955" s="58"/>
      <c r="EU955" s="58"/>
      <c r="EV955" s="58"/>
      <c r="EW955" s="58"/>
      <c r="EX955" s="58"/>
      <c r="EY955" s="58"/>
      <c r="EZ955" s="58"/>
      <c r="FA955" s="58"/>
      <c r="FB955" s="58"/>
      <c r="FC955" s="58"/>
      <c r="FD955" s="58"/>
      <c r="FE955" s="58"/>
      <c r="FF955" s="58"/>
      <c r="FG955" s="58"/>
      <c r="FH955" s="58"/>
      <c r="FI955" s="58"/>
      <c r="FJ955" s="58"/>
      <c r="FK955" s="58"/>
      <c r="FL955" s="58"/>
      <c r="FM955" s="58"/>
    </row>
    <row r="956">
      <c r="ET956" s="58"/>
      <c r="EU956" s="58"/>
      <c r="EV956" s="58"/>
      <c r="EW956" s="58"/>
      <c r="EX956" s="58"/>
      <c r="EY956" s="58"/>
      <c r="EZ956" s="58"/>
      <c r="FA956" s="58"/>
      <c r="FB956" s="58"/>
      <c r="FC956" s="58"/>
      <c r="FD956" s="58"/>
      <c r="FE956" s="58"/>
      <c r="FF956" s="58"/>
      <c r="FG956" s="58"/>
      <c r="FH956" s="58"/>
      <c r="FI956" s="58"/>
      <c r="FJ956" s="58"/>
      <c r="FK956" s="58"/>
      <c r="FL956" s="58"/>
      <c r="FM956" s="58"/>
    </row>
    <row r="957">
      <c r="ET957" s="58"/>
      <c r="EU957" s="58"/>
      <c r="EV957" s="58"/>
      <c r="EW957" s="58"/>
      <c r="EX957" s="58"/>
      <c r="EY957" s="58"/>
      <c r="EZ957" s="58"/>
      <c r="FA957" s="58"/>
      <c r="FB957" s="58"/>
      <c r="FC957" s="58"/>
      <c r="FD957" s="58"/>
      <c r="FE957" s="58"/>
      <c r="FF957" s="58"/>
      <c r="FG957" s="58"/>
      <c r="FH957" s="58"/>
      <c r="FI957" s="58"/>
      <c r="FJ957" s="58"/>
      <c r="FK957" s="58"/>
      <c r="FL957" s="58"/>
      <c r="FM957" s="58"/>
    </row>
    <row r="958">
      <c r="ET958" s="58"/>
      <c r="EU958" s="58"/>
      <c r="EV958" s="58"/>
      <c r="EW958" s="58"/>
      <c r="EX958" s="58"/>
      <c r="EY958" s="58"/>
      <c r="EZ958" s="58"/>
      <c r="FA958" s="58"/>
      <c r="FB958" s="58"/>
      <c r="FC958" s="58"/>
      <c r="FD958" s="58"/>
      <c r="FE958" s="58"/>
      <c r="FF958" s="58"/>
      <c r="FG958" s="58"/>
      <c r="FH958" s="58"/>
      <c r="FI958" s="58"/>
      <c r="FJ958" s="58"/>
      <c r="FK958" s="58"/>
      <c r="FL958" s="58"/>
      <c r="FM958" s="58"/>
    </row>
    <row r="959">
      <c r="ET959" s="58"/>
      <c r="EU959" s="58"/>
      <c r="EV959" s="58"/>
      <c r="EW959" s="58"/>
      <c r="EX959" s="58"/>
      <c r="EY959" s="58"/>
      <c r="EZ959" s="58"/>
      <c r="FA959" s="58"/>
      <c r="FB959" s="58"/>
      <c r="FC959" s="58"/>
      <c r="FD959" s="58"/>
      <c r="FE959" s="58"/>
      <c r="FF959" s="58"/>
      <c r="FG959" s="58"/>
      <c r="FH959" s="58"/>
      <c r="FI959" s="58"/>
      <c r="FJ959" s="58"/>
      <c r="FK959" s="58"/>
      <c r="FL959" s="58"/>
      <c r="FM959" s="58"/>
    </row>
    <row r="960">
      <c r="ET960" s="58"/>
      <c r="EU960" s="58"/>
      <c r="EV960" s="58"/>
      <c r="EW960" s="58"/>
      <c r="EX960" s="58"/>
      <c r="EY960" s="58"/>
      <c r="EZ960" s="58"/>
      <c r="FA960" s="58"/>
      <c r="FB960" s="58"/>
      <c r="FC960" s="58"/>
      <c r="FD960" s="58"/>
      <c r="FE960" s="58"/>
      <c r="FF960" s="58"/>
      <c r="FG960" s="58"/>
      <c r="FH960" s="58"/>
      <c r="FI960" s="58"/>
      <c r="FJ960" s="58"/>
      <c r="FK960" s="58"/>
      <c r="FL960" s="58"/>
      <c r="FM960" s="58"/>
    </row>
    <row r="961">
      <c r="ET961" s="58"/>
      <c r="EU961" s="58"/>
      <c r="EV961" s="58"/>
      <c r="EW961" s="58"/>
      <c r="EX961" s="58"/>
      <c r="EY961" s="58"/>
      <c r="EZ961" s="58"/>
      <c r="FA961" s="58"/>
      <c r="FB961" s="58"/>
      <c r="FC961" s="58"/>
      <c r="FD961" s="58"/>
      <c r="FE961" s="58"/>
      <c r="FF961" s="58"/>
      <c r="FG961" s="58"/>
      <c r="FH961" s="58"/>
      <c r="FI961" s="58"/>
      <c r="FJ961" s="58"/>
      <c r="FK961" s="58"/>
      <c r="FL961" s="58"/>
      <c r="FM961" s="58"/>
    </row>
    <row r="962">
      <c r="ET962" s="58"/>
      <c r="EU962" s="58"/>
      <c r="EV962" s="58"/>
      <c r="EW962" s="58"/>
      <c r="EX962" s="58"/>
      <c r="EY962" s="58"/>
      <c r="EZ962" s="58"/>
      <c r="FA962" s="58"/>
      <c r="FB962" s="58"/>
      <c r="FC962" s="58"/>
      <c r="FD962" s="58"/>
      <c r="FE962" s="58"/>
      <c r="FF962" s="58"/>
      <c r="FG962" s="58"/>
      <c r="FH962" s="58"/>
      <c r="FI962" s="58"/>
      <c r="FJ962" s="58"/>
      <c r="FK962" s="58"/>
      <c r="FL962" s="58"/>
      <c r="FM962" s="58"/>
    </row>
    <row r="963">
      <c r="ET963" s="58"/>
      <c r="EU963" s="58"/>
      <c r="EV963" s="58"/>
      <c r="EW963" s="58"/>
      <c r="EX963" s="58"/>
      <c r="EY963" s="58"/>
      <c r="EZ963" s="58"/>
      <c r="FA963" s="58"/>
      <c r="FB963" s="58"/>
      <c r="FC963" s="58"/>
      <c r="FD963" s="58"/>
      <c r="FE963" s="58"/>
      <c r="FF963" s="58"/>
      <c r="FG963" s="58"/>
      <c r="FH963" s="58"/>
      <c r="FI963" s="58"/>
      <c r="FJ963" s="58"/>
      <c r="FK963" s="58"/>
      <c r="FL963" s="58"/>
      <c r="FM963" s="58"/>
    </row>
    <row r="964">
      <c r="ET964" s="58"/>
      <c r="EU964" s="58"/>
      <c r="EV964" s="58"/>
      <c r="EW964" s="58"/>
      <c r="EX964" s="58"/>
      <c r="EY964" s="58"/>
      <c r="EZ964" s="58"/>
      <c r="FA964" s="58"/>
      <c r="FB964" s="58"/>
      <c r="FC964" s="58"/>
      <c r="FD964" s="58"/>
      <c r="FE964" s="58"/>
      <c r="FF964" s="58"/>
      <c r="FG964" s="58"/>
      <c r="FH964" s="58"/>
      <c r="FI964" s="58"/>
      <c r="FJ964" s="58"/>
      <c r="FK964" s="58"/>
      <c r="FL964" s="58"/>
      <c r="FM964" s="58"/>
    </row>
    <row r="965">
      <c r="ET965" s="58"/>
      <c r="EU965" s="58"/>
      <c r="EV965" s="58"/>
      <c r="EW965" s="58"/>
      <c r="EX965" s="58"/>
      <c r="EY965" s="58"/>
      <c r="EZ965" s="58"/>
      <c r="FA965" s="58"/>
      <c r="FB965" s="58"/>
      <c r="FC965" s="58"/>
      <c r="FD965" s="58"/>
      <c r="FE965" s="58"/>
      <c r="FF965" s="58"/>
      <c r="FG965" s="58"/>
      <c r="FH965" s="58"/>
      <c r="FI965" s="58"/>
      <c r="FJ965" s="58"/>
      <c r="FK965" s="58"/>
      <c r="FL965" s="58"/>
      <c r="FM965" s="58"/>
    </row>
    <row r="966">
      <c r="ET966" s="58"/>
      <c r="EU966" s="58"/>
      <c r="EV966" s="58"/>
      <c r="EW966" s="58"/>
      <c r="EX966" s="58"/>
      <c r="EY966" s="58"/>
      <c r="EZ966" s="58"/>
      <c r="FA966" s="58"/>
      <c r="FB966" s="58"/>
      <c r="FC966" s="58"/>
      <c r="FD966" s="58"/>
      <c r="FE966" s="58"/>
      <c r="FF966" s="58"/>
      <c r="FG966" s="58"/>
      <c r="FH966" s="58"/>
      <c r="FI966" s="58"/>
      <c r="FJ966" s="58"/>
      <c r="FK966" s="58"/>
      <c r="FL966" s="58"/>
      <c r="FM966" s="58"/>
    </row>
    <row r="967">
      <c r="ET967" s="58"/>
      <c r="EU967" s="58"/>
      <c r="EV967" s="58"/>
      <c r="EW967" s="58"/>
      <c r="EX967" s="58"/>
      <c r="EY967" s="58"/>
      <c r="EZ967" s="58"/>
      <c r="FA967" s="58"/>
      <c r="FB967" s="58"/>
      <c r="FC967" s="58"/>
      <c r="FD967" s="58"/>
      <c r="FE967" s="58"/>
      <c r="FF967" s="58"/>
      <c r="FG967" s="58"/>
      <c r="FH967" s="58"/>
      <c r="FI967" s="58"/>
      <c r="FJ967" s="58"/>
      <c r="FK967" s="58"/>
      <c r="FL967" s="58"/>
      <c r="FM967" s="58"/>
    </row>
    <row r="968">
      <c r="ET968" s="58"/>
      <c r="EU968" s="58"/>
      <c r="EV968" s="58"/>
      <c r="EW968" s="58"/>
      <c r="EX968" s="58"/>
      <c r="EY968" s="58"/>
      <c r="EZ968" s="58"/>
      <c r="FA968" s="58"/>
      <c r="FB968" s="58"/>
      <c r="FC968" s="58"/>
      <c r="FD968" s="58"/>
      <c r="FE968" s="58"/>
      <c r="FF968" s="58"/>
      <c r="FG968" s="58"/>
      <c r="FH968" s="58"/>
      <c r="FI968" s="58"/>
      <c r="FJ968" s="58"/>
      <c r="FK968" s="58"/>
      <c r="FL968" s="58"/>
      <c r="FM968" s="58"/>
    </row>
    <row r="969">
      <c r="ET969" s="58"/>
      <c r="EU969" s="58"/>
      <c r="EV969" s="58"/>
      <c r="EW969" s="58"/>
      <c r="EX969" s="58"/>
      <c r="EY969" s="58"/>
      <c r="EZ969" s="58"/>
      <c r="FA969" s="58"/>
      <c r="FB969" s="58"/>
      <c r="FC969" s="58"/>
      <c r="FD969" s="58"/>
      <c r="FE969" s="58"/>
      <c r="FF969" s="58"/>
      <c r="FG969" s="58"/>
      <c r="FH969" s="58"/>
      <c r="FI969" s="58"/>
      <c r="FJ969" s="58"/>
      <c r="FK969" s="58"/>
      <c r="FL969" s="58"/>
      <c r="FM969" s="58"/>
    </row>
    <row r="970">
      <c r="ET970" s="58"/>
      <c r="EU970" s="58"/>
      <c r="EV970" s="58"/>
      <c r="EW970" s="58"/>
      <c r="EX970" s="58"/>
      <c r="EY970" s="58"/>
      <c r="EZ970" s="58"/>
      <c r="FA970" s="58"/>
      <c r="FB970" s="58"/>
      <c r="FC970" s="58"/>
      <c r="FD970" s="58"/>
      <c r="FE970" s="58"/>
      <c r="FF970" s="58"/>
      <c r="FG970" s="58"/>
      <c r="FH970" s="58"/>
      <c r="FI970" s="58"/>
      <c r="FJ970" s="58"/>
      <c r="FK970" s="58"/>
      <c r="FL970" s="58"/>
      <c r="FM970" s="58"/>
    </row>
    <row r="971">
      <c r="ET971" s="58"/>
      <c r="EU971" s="58"/>
      <c r="EV971" s="58"/>
      <c r="EW971" s="58"/>
      <c r="EX971" s="58"/>
      <c r="EY971" s="58"/>
      <c r="EZ971" s="58"/>
      <c r="FA971" s="58"/>
      <c r="FB971" s="58"/>
      <c r="FC971" s="58"/>
      <c r="FD971" s="58"/>
      <c r="FE971" s="58"/>
      <c r="FF971" s="58"/>
      <c r="FG971" s="58"/>
      <c r="FH971" s="58"/>
      <c r="FI971" s="58"/>
      <c r="FJ971" s="58"/>
      <c r="FK971" s="58"/>
      <c r="FL971" s="58"/>
      <c r="FM971" s="58"/>
    </row>
    <row r="972">
      <c r="ET972" s="58"/>
      <c r="EU972" s="58"/>
      <c r="EV972" s="58"/>
      <c r="EW972" s="58"/>
      <c r="EX972" s="58"/>
      <c r="EY972" s="58"/>
      <c r="EZ972" s="58"/>
      <c r="FA972" s="58"/>
      <c r="FB972" s="58"/>
      <c r="FC972" s="58"/>
      <c r="FD972" s="58"/>
      <c r="FE972" s="58"/>
      <c r="FF972" s="58"/>
      <c r="FG972" s="58"/>
      <c r="FH972" s="58"/>
      <c r="FI972" s="58"/>
      <c r="FJ972" s="58"/>
      <c r="FK972" s="58"/>
      <c r="FL972" s="58"/>
      <c r="FM972" s="58"/>
    </row>
    <row r="973">
      <c r="ET973" s="58"/>
      <c r="EU973" s="58"/>
      <c r="EV973" s="58"/>
      <c r="EW973" s="58"/>
      <c r="EX973" s="58"/>
      <c r="EY973" s="58"/>
      <c r="EZ973" s="58"/>
      <c r="FA973" s="58"/>
      <c r="FB973" s="58"/>
      <c r="FC973" s="58"/>
      <c r="FD973" s="58"/>
      <c r="FE973" s="58"/>
      <c r="FF973" s="58"/>
      <c r="FG973" s="58"/>
      <c r="FH973" s="58"/>
      <c r="FI973" s="58"/>
      <c r="FJ973" s="58"/>
      <c r="FK973" s="58"/>
      <c r="FL973" s="58"/>
      <c r="FM973" s="58"/>
    </row>
    <row r="974">
      <c r="ET974" s="58"/>
      <c r="EU974" s="58"/>
      <c r="EV974" s="58"/>
      <c r="EW974" s="58"/>
      <c r="EX974" s="58"/>
      <c r="EY974" s="58"/>
      <c r="EZ974" s="58"/>
      <c r="FA974" s="58"/>
      <c r="FB974" s="58"/>
      <c r="FC974" s="58"/>
      <c r="FD974" s="58"/>
      <c r="FE974" s="58"/>
      <c r="FF974" s="58"/>
      <c r="FG974" s="58"/>
      <c r="FH974" s="58"/>
      <c r="FI974" s="58"/>
      <c r="FJ974" s="58"/>
      <c r="FK974" s="58"/>
      <c r="FL974" s="58"/>
      <c r="FM974" s="58"/>
    </row>
    <row r="975">
      <c r="ET975" s="58"/>
      <c r="EU975" s="58"/>
      <c r="EV975" s="58"/>
      <c r="EW975" s="58"/>
      <c r="EX975" s="58"/>
      <c r="EY975" s="58"/>
      <c r="EZ975" s="58"/>
      <c r="FA975" s="58"/>
      <c r="FB975" s="58"/>
      <c r="FC975" s="58"/>
      <c r="FD975" s="58"/>
      <c r="FE975" s="58"/>
      <c r="FF975" s="58"/>
      <c r="FG975" s="58"/>
      <c r="FH975" s="58"/>
      <c r="FI975" s="58"/>
      <c r="FJ975" s="58"/>
      <c r="FK975" s="58"/>
      <c r="FL975" s="58"/>
      <c r="FM975" s="58"/>
    </row>
    <row r="976">
      <c r="ET976" s="58"/>
      <c r="EU976" s="58"/>
      <c r="EV976" s="58"/>
      <c r="EW976" s="58"/>
      <c r="EX976" s="58"/>
      <c r="EY976" s="58"/>
      <c r="EZ976" s="58"/>
      <c r="FA976" s="58"/>
      <c r="FB976" s="58"/>
      <c r="FC976" s="58"/>
      <c r="FD976" s="58"/>
      <c r="FE976" s="58"/>
      <c r="FF976" s="58"/>
      <c r="FG976" s="58"/>
      <c r="FH976" s="58"/>
      <c r="FI976" s="58"/>
      <c r="FJ976" s="58"/>
      <c r="FK976" s="58"/>
      <c r="FL976" s="58"/>
      <c r="FM976" s="58"/>
    </row>
    <row r="977">
      <c r="ET977" s="58"/>
      <c r="EU977" s="58"/>
      <c r="EV977" s="58"/>
      <c r="EW977" s="58"/>
      <c r="EX977" s="58"/>
      <c r="EY977" s="58"/>
      <c r="EZ977" s="58"/>
      <c r="FA977" s="58"/>
      <c r="FB977" s="58"/>
      <c r="FC977" s="58"/>
      <c r="FD977" s="58"/>
      <c r="FE977" s="58"/>
      <c r="FF977" s="58"/>
      <c r="FG977" s="58"/>
      <c r="FH977" s="58"/>
      <c r="FI977" s="58"/>
      <c r="FJ977" s="58"/>
      <c r="FK977" s="58"/>
      <c r="FL977" s="58"/>
      <c r="FM977" s="58"/>
    </row>
    <row r="978">
      <c r="ET978" s="58"/>
      <c r="EU978" s="58"/>
      <c r="EV978" s="58"/>
      <c r="EW978" s="58"/>
      <c r="EX978" s="58"/>
      <c r="EY978" s="58"/>
      <c r="EZ978" s="58"/>
      <c r="FA978" s="58"/>
      <c r="FB978" s="58"/>
      <c r="FC978" s="58"/>
      <c r="FD978" s="58"/>
      <c r="FE978" s="58"/>
      <c r="FF978" s="58"/>
      <c r="FG978" s="58"/>
      <c r="FH978" s="58"/>
      <c r="FI978" s="58"/>
      <c r="FJ978" s="58"/>
      <c r="FK978" s="58"/>
      <c r="FL978" s="58"/>
      <c r="FM978" s="58"/>
    </row>
    <row r="979">
      <c r="ET979" s="58"/>
      <c r="EU979" s="58"/>
      <c r="EV979" s="58"/>
      <c r="EW979" s="58"/>
      <c r="EX979" s="58"/>
      <c r="EY979" s="58"/>
      <c r="EZ979" s="58"/>
      <c r="FA979" s="58"/>
      <c r="FB979" s="58"/>
      <c r="FC979" s="58"/>
      <c r="FD979" s="58"/>
      <c r="FE979" s="58"/>
      <c r="FF979" s="58"/>
      <c r="FG979" s="58"/>
      <c r="FH979" s="58"/>
      <c r="FI979" s="58"/>
      <c r="FJ979" s="58"/>
      <c r="FK979" s="58"/>
      <c r="FL979" s="58"/>
      <c r="FM979" s="58"/>
    </row>
    <row r="980">
      <c r="ET980" s="58"/>
      <c r="EU980" s="58"/>
      <c r="EV980" s="58"/>
      <c r="EW980" s="58"/>
      <c r="EX980" s="58"/>
      <c r="EY980" s="58"/>
      <c r="EZ980" s="58"/>
      <c r="FA980" s="58"/>
      <c r="FB980" s="58"/>
      <c r="FC980" s="58"/>
      <c r="FD980" s="58"/>
      <c r="FE980" s="58"/>
      <c r="FF980" s="58"/>
      <c r="FG980" s="58"/>
      <c r="FH980" s="58"/>
      <c r="FI980" s="58"/>
      <c r="FJ980" s="58"/>
      <c r="FK980" s="58"/>
      <c r="FL980" s="58"/>
      <c r="FM980" s="58"/>
    </row>
    <row r="981">
      <c r="ET981" s="58"/>
      <c r="EU981" s="58"/>
      <c r="EV981" s="58"/>
      <c r="EW981" s="58"/>
      <c r="EX981" s="58"/>
      <c r="EY981" s="58"/>
      <c r="EZ981" s="58"/>
      <c r="FA981" s="58"/>
      <c r="FB981" s="58"/>
      <c r="FC981" s="58"/>
      <c r="FD981" s="58"/>
      <c r="FE981" s="58"/>
      <c r="FF981" s="58"/>
      <c r="FG981" s="58"/>
      <c r="FH981" s="58"/>
      <c r="FI981" s="58"/>
      <c r="FJ981" s="58"/>
      <c r="FK981" s="58"/>
      <c r="FL981" s="58"/>
      <c r="FM981" s="58"/>
    </row>
    <row r="982">
      <c r="ET982" s="58"/>
      <c r="EU982" s="58"/>
      <c r="EV982" s="58"/>
      <c r="EW982" s="58"/>
      <c r="EX982" s="58"/>
      <c r="EY982" s="58"/>
      <c r="EZ982" s="58"/>
      <c r="FA982" s="58"/>
      <c r="FB982" s="58"/>
      <c r="FC982" s="58"/>
      <c r="FD982" s="58"/>
      <c r="FE982" s="58"/>
      <c r="FF982" s="58"/>
      <c r="FG982" s="58"/>
      <c r="FH982" s="58"/>
      <c r="FI982" s="58"/>
      <c r="FJ982" s="58"/>
      <c r="FK982" s="58"/>
      <c r="FL982" s="58"/>
      <c r="FM982" s="58"/>
    </row>
    <row r="983">
      <c r="ET983" s="58"/>
      <c r="EU983" s="58"/>
      <c r="EV983" s="58"/>
      <c r="EW983" s="58"/>
      <c r="EX983" s="58"/>
      <c r="EY983" s="58"/>
      <c r="EZ983" s="58"/>
      <c r="FA983" s="58"/>
      <c r="FB983" s="58"/>
      <c r="FC983" s="58"/>
      <c r="FD983" s="58"/>
      <c r="FE983" s="58"/>
      <c r="FF983" s="58"/>
      <c r="FG983" s="58"/>
      <c r="FH983" s="58"/>
      <c r="FI983" s="58"/>
      <c r="FJ983" s="58"/>
      <c r="FK983" s="58"/>
      <c r="FL983" s="58"/>
      <c r="FM983" s="58"/>
    </row>
    <row r="984">
      <c r="ET984" s="58"/>
      <c r="EU984" s="58"/>
      <c r="EV984" s="58"/>
      <c r="EW984" s="58"/>
      <c r="EX984" s="58"/>
      <c r="EY984" s="58"/>
      <c r="EZ984" s="58"/>
      <c r="FA984" s="58"/>
      <c r="FB984" s="58"/>
      <c r="FC984" s="58"/>
      <c r="FD984" s="58"/>
      <c r="FE984" s="58"/>
      <c r="FF984" s="58"/>
      <c r="FG984" s="58"/>
      <c r="FH984" s="58"/>
      <c r="FI984" s="58"/>
      <c r="FJ984" s="58"/>
      <c r="FK984" s="58"/>
      <c r="FL984" s="58"/>
      <c r="FM984" s="58"/>
    </row>
    <row r="985">
      <c r="ET985" s="58"/>
      <c r="EU985" s="58"/>
      <c r="EV985" s="58"/>
      <c r="EW985" s="58"/>
      <c r="EX985" s="58"/>
      <c r="EY985" s="58"/>
      <c r="EZ985" s="58"/>
      <c r="FA985" s="58"/>
      <c r="FB985" s="58"/>
      <c r="FC985" s="58"/>
      <c r="FD985" s="58"/>
      <c r="FE985" s="58"/>
      <c r="FF985" s="58"/>
      <c r="FG985" s="58"/>
      <c r="FH985" s="58"/>
      <c r="FI985" s="58"/>
      <c r="FJ985" s="58"/>
      <c r="FK985" s="58"/>
      <c r="FL985" s="58"/>
      <c r="FM985" s="58"/>
    </row>
    <row r="986">
      <c r="ET986" s="58"/>
      <c r="EU986" s="58"/>
      <c r="EV986" s="58"/>
      <c r="EW986" s="58"/>
      <c r="EX986" s="58"/>
      <c r="EY986" s="58"/>
      <c r="EZ986" s="58"/>
      <c r="FA986" s="58"/>
      <c r="FB986" s="58"/>
      <c r="FC986" s="58"/>
      <c r="FD986" s="58"/>
      <c r="FE986" s="58"/>
      <c r="FF986" s="58"/>
      <c r="FG986" s="58"/>
      <c r="FH986" s="58"/>
      <c r="FI986" s="58"/>
      <c r="FJ986" s="58"/>
      <c r="FK986" s="58"/>
      <c r="FL986" s="58"/>
      <c r="FM986" s="58"/>
    </row>
    <row r="987">
      <c r="ET987" s="58"/>
      <c r="EU987" s="58"/>
      <c r="EV987" s="58"/>
      <c r="EW987" s="58"/>
      <c r="EX987" s="58"/>
      <c r="EY987" s="58"/>
      <c r="EZ987" s="58"/>
      <c r="FA987" s="58"/>
      <c r="FB987" s="58"/>
      <c r="FC987" s="58"/>
      <c r="FD987" s="58"/>
      <c r="FE987" s="58"/>
      <c r="FF987" s="58"/>
      <c r="FG987" s="58"/>
      <c r="FH987" s="58"/>
      <c r="FI987" s="58"/>
      <c r="FJ987" s="58"/>
      <c r="FK987" s="58"/>
      <c r="FL987" s="58"/>
      <c r="FM987" s="58"/>
    </row>
    <row r="988">
      <c r="ET988" s="58"/>
      <c r="EU988" s="58"/>
      <c r="EV988" s="58"/>
      <c r="EW988" s="58"/>
      <c r="EX988" s="58"/>
      <c r="EY988" s="58"/>
      <c r="EZ988" s="58"/>
      <c r="FA988" s="58"/>
      <c r="FB988" s="58"/>
      <c r="FC988" s="58"/>
      <c r="FD988" s="58"/>
      <c r="FE988" s="58"/>
      <c r="FF988" s="58"/>
      <c r="FG988" s="58"/>
      <c r="FH988" s="58"/>
      <c r="FI988" s="58"/>
      <c r="FJ988" s="58"/>
      <c r="FK988" s="58"/>
      <c r="FL988" s="58"/>
      <c r="FM988" s="58"/>
    </row>
    <row r="989">
      <c r="ET989" s="58"/>
      <c r="EU989" s="58"/>
      <c r="EV989" s="58"/>
      <c r="EW989" s="58"/>
      <c r="EX989" s="58"/>
      <c r="EY989" s="58"/>
      <c r="EZ989" s="58"/>
      <c r="FA989" s="58"/>
      <c r="FB989" s="58"/>
      <c r="FC989" s="58"/>
      <c r="FD989" s="58"/>
      <c r="FE989" s="58"/>
      <c r="FF989" s="58"/>
      <c r="FG989" s="58"/>
      <c r="FH989" s="58"/>
      <c r="FI989" s="58"/>
      <c r="FJ989" s="58"/>
      <c r="FK989" s="58"/>
      <c r="FL989" s="58"/>
      <c r="FM989" s="58"/>
    </row>
    <row r="990">
      <c r="ET990" s="58"/>
      <c r="EU990" s="58"/>
      <c r="EV990" s="58"/>
      <c r="EW990" s="58"/>
      <c r="EX990" s="58"/>
      <c r="EY990" s="58"/>
      <c r="EZ990" s="58"/>
      <c r="FA990" s="58"/>
      <c r="FB990" s="58"/>
      <c r="FC990" s="58"/>
      <c r="FD990" s="58"/>
      <c r="FE990" s="58"/>
      <c r="FF990" s="58"/>
      <c r="FG990" s="58"/>
      <c r="FH990" s="58"/>
      <c r="FI990" s="58"/>
      <c r="FJ990" s="58"/>
      <c r="FK990" s="58"/>
      <c r="FL990" s="58"/>
      <c r="FM990" s="58"/>
    </row>
    <row r="991">
      <c r="ET991" s="58"/>
      <c r="EU991" s="58"/>
      <c r="EV991" s="58"/>
      <c r="EW991" s="58"/>
      <c r="EX991" s="58"/>
      <c r="EY991" s="58"/>
      <c r="EZ991" s="58"/>
      <c r="FA991" s="58"/>
      <c r="FB991" s="58"/>
      <c r="FC991" s="58"/>
      <c r="FD991" s="58"/>
      <c r="FE991" s="58"/>
      <c r="FF991" s="58"/>
      <c r="FG991" s="58"/>
      <c r="FH991" s="58"/>
      <c r="FI991" s="58"/>
      <c r="FJ991" s="58"/>
      <c r="FK991" s="58"/>
      <c r="FL991" s="58"/>
      <c r="FM991" s="58"/>
    </row>
    <row r="992">
      <c r="ET992" s="58"/>
      <c r="EU992" s="58"/>
      <c r="EV992" s="58"/>
      <c r="EW992" s="58"/>
      <c r="EX992" s="58"/>
      <c r="EY992" s="58"/>
      <c r="EZ992" s="58"/>
      <c r="FA992" s="58"/>
      <c r="FB992" s="58"/>
      <c r="FC992" s="58"/>
      <c r="FD992" s="58"/>
      <c r="FE992" s="58"/>
      <c r="FF992" s="58"/>
      <c r="FG992" s="58"/>
      <c r="FH992" s="58"/>
      <c r="FI992" s="58"/>
      <c r="FJ992" s="58"/>
      <c r="FK992" s="58"/>
      <c r="FL992" s="58"/>
      <c r="FM992" s="58"/>
    </row>
    <row r="993">
      <c r="ET993" s="58"/>
      <c r="EU993" s="58"/>
      <c r="EV993" s="58"/>
      <c r="EW993" s="58"/>
      <c r="EX993" s="58"/>
      <c r="EY993" s="58"/>
      <c r="EZ993" s="58"/>
      <c r="FA993" s="58"/>
      <c r="FB993" s="58"/>
      <c r="FC993" s="58"/>
      <c r="FD993" s="58"/>
      <c r="FE993" s="58"/>
      <c r="FF993" s="58"/>
      <c r="FG993" s="58"/>
      <c r="FH993" s="58"/>
      <c r="FI993" s="58"/>
      <c r="FJ993" s="58"/>
      <c r="FK993" s="58"/>
      <c r="FL993" s="58"/>
      <c r="FM993" s="58"/>
    </row>
    <row r="994">
      <c r="ET994" s="58"/>
      <c r="EU994" s="58"/>
      <c r="EV994" s="58"/>
      <c r="EW994" s="58"/>
      <c r="EX994" s="58"/>
      <c r="EY994" s="58"/>
      <c r="EZ994" s="58"/>
      <c r="FA994" s="58"/>
      <c r="FB994" s="58"/>
      <c r="FC994" s="58"/>
      <c r="FD994" s="58"/>
      <c r="FE994" s="58"/>
      <c r="FF994" s="58"/>
      <c r="FG994" s="58"/>
      <c r="FH994" s="58"/>
      <c r="FI994" s="58"/>
      <c r="FJ994" s="58"/>
      <c r="FK994" s="58"/>
      <c r="FL994" s="58"/>
      <c r="FM994" s="58"/>
    </row>
    <row r="995">
      <c r="ET995" s="58"/>
      <c r="EU995" s="58"/>
      <c r="EV995" s="58"/>
      <c r="EW995" s="58"/>
      <c r="EX995" s="58"/>
      <c r="EY995" s="58"/>
      <c r="EZ995" s="58"/>
      <c r="FA995" s="58"/>
      <c r="FB995" s="58"/>
      <c r="FC995" s="58"/>
      <c r="FD995" s="58"/>
      <c r="FE995" s="58"/>
      <c r="FF995" s="58"/>
      <c r="FG995" s="58"/>
      <c r="FH995" s="58"/>
      <c r="FI995" s="58"/>
      <c r="FJ995" s="58"/>
      <c r="FK995" s="58"/>
      <c r="FL995" s="58"/>
      <c r="FM995" s="58"/>
    </row>
    <row r="996">
      <c r="ET996" s="58"/>
      <c r="EU996" s="58"/>
      <c r="EV996" s="58"/>
      <c r="EW996" s="58"/>
      <c r="EX996" s="58"/>
      <c r="EY996" s="58"/>
      <c r="EZ996" s="58"/>
      <c r="FA996" s="58"/>
      <c r="FB996" s="58"/>
      <c r="FC996" s="58"/>
      <c r="FD996" s="58"/>
      <c r="FE996" s="58"/>
      <c r="FF996" s="58"/>
      <c r="FG996" s="58"/>
      <c r="FH996" s="58"/>
      <c r="FI996" s="58"/>
      <c r="FJ996" s="58"/>
      <c r="FK996" s="58"/>
      <c r="FL996" s="58"/>
      <c r="FM996" s="58"/>
    </row>
    <row r="997">
      <c r="ET997" s="58"/>
      <c r="EU997" s="58"/>
      <c r="EV997" s="58"/>
      <c r="EW997" s="58"/>
      <c r="EX997" s="58"/>
      <c r="EY997" s="58"/>
      <c r="EZ997" s="58"/>
      <c r="FA997" s="58"/>
      <c r="FB997" s="58"/>
      <c r="FC997" s="58"/>
      <c r="FD997" s="58"/>
      <c r="FE997" s="58"/>
      <c r="FF997" s="58"/>
      <c r="FG997" s="58"/>
      <c r="FH997" s="58"/>
      <c r="FI997" s="58"/>
      <c r="FJ997" s="58"/>
      <c r="FK997" s="58"/>
      <c r="FL997" s="58"/>
      <c r="FM997" s="58"/>
    </row>
    <row r="998">
      <c r="ET998" s="58"/>
      <c r="EU998" s="58"/>
      <c r="EV998" s="58"/>
      <c r="EW998" s="58"/>
      <c r="EX998" s="58"/>
      <c r="EY998" s="58"/>
      <c r="EZ998" s="58"/>
      <c r="FA998" s="58"/>
      <c r="FB998" s="58"/>
      <c r="FC998" s="58"/>
      <c r="FD998" s="58"/>
      <c r="FE998" s="58"/>
      <c r="FF998" s="58"/>
      <c r="FG998" s="58"/>
      <c r="FH998" s="58"/>
      <c r="FI998" s="58"/>
      <c r="FJ998" s="58"/>
      <c r="FK998" s="58"/>
      <c r="FL998" s="58"/>
      <c r="FM998" s="58"/>
    </row>
    <row r="999">
      <c r="ET999" s="58"/>
      <c r="EU999" s="58"/>
      <c r="EV999" s="58"/>
      <c r="EW999" s="58"/>
      <c r="EX999" s="58"/>
      <c r="EY999" s="58"/>
      <c r="EZ999" s="58"/>
      <c r="FA999" s="58"/>
      <c r="FB999" s="58"/>
      <c r="FC999" s="58"/>
      <c r="FD999" s="58"/>
      <c r="FE999" s="58"/>
      <c r="FF999" s="58"/>
      <c r="FG999" s="58"/>
      <c r="FH999" s="58"/>
      <c r="FI999" s="58"/>
      <c r="FJ999" s="58"/>
      <c r="FK999" s="58"/>
      <c r="FL999" s="58"/>
      <c r="FM999" s="58"/>
    </row>
  </sheetData>
  <mergeCells count="85">
    <mergeCell ref="AR27:AX27"/>
    <mergeCell ref="AO28:AQ28"/>
    <mergeCell ref="BA28:BG28"/>
    <mergeCell ref="AU29:BJ29"/>
    <mergeCell ref="AY30:BE30"/>
    <mergeCell ref="BF30:BN30"/>
    <mergeCell ref="J31:K31"/>
    <mergeCell ref="AP31:AX31"/>
    <mergeCell ref="AY31:BE31"/>
    <mergeCell ref="CG31:CK31"/>
    <mergeCell ref="AN32:BO32"/>
    <mergeCell ref="CF32:CO32"/>
    <mergeCell ref="CQ32:CW32"/>
    <mergeCell ref="BB33:BF33"/>
    <mergeCell ref="AR34:BH34"/>
    <mergeCell ref="BN34:BR34"/>
    <mergeCell ref="DA34:DE34"/>
    <mergeCell ref="AI35:AK35"/>
    <mergeCell ref="BA35:BO35"/>
    <mergeCell ref="BT36:BX36"/>
    <mergeCell ref="BT37:BX37"/>
    <mergeCell ref="A41:B41"/>
    <mergeCell ref="D42:J42"/>
    <mergeCell ref="A43:B43"/>
    <mergeCell ref="AZ36:BM36"/>
    <mergeCell ref="AU38:BB39"/>
    <mergeCell ref="BC38:BO39"/>
    <mergeCell ref="A40:B40"/>
    <mergeCell ref="AU40:AW40"/>
    <mergeCell ref="CC40:CI40"/>
    <mergeCell ref="CC41:CI41"/>
    <mergeCell ref="CQ43:CW43"/>
    <mergeCell ref="DJ43:DX43"/>
    <mergeCell ref="AX40:CB40"/>
    <mergeCell ref="AX41:CB41"/>
    <mergeCell ref="AU42:DK42"/>
    <mergeCell ref="AY43:BE43"/>
    <mergeCell ref="BT43:CB43"/>
    <mergeCell ref="CC43:CI43"/>
    <mergeCell ref="CJ43:CP43"/>
    <mergeCell ref="F1:T2"/>
    <mergeCell ref="V1:AW2"/>
    <mergeCell ref="AX1:CB2"/>
    <mergeCell ref="DE1:EI2"/>
    <mergeCell ref="EJ1:FM2"/>
    <mergeCell ref="H4:K4"/>
    <mergeCell ref="V4:Z4"/>
    <mergeCell ref="CC1:DD2"/>
    <mergeCell ref="CG4:CK4"/>
    <mergeCell ref="AS6:BF6"/>
    <mergeCell ref="AV7:BG7"/>
    <mergeCell ref="AY8:BE8"/>
    <mergeCell ref="BF8:BN8"/>
    <mergeCell ref="AT9:BF9"/>
    <mergeCell ref="CC12:CI13"/>
    <mergeCell ref="CQ16:DB16"/>
    <mergeCell ref="AS10:AW10"/>
    <mergeCell ref="AS11:AW11"/>
    <mergeCell ref="BB11:BI11"/>
    <mergeCell ref="CC11:CG11"/>
    <mergeCell ref="AO12:AQ13"/>
    <mergeCell ref="AV12:BG13"/>
    <mergeCell ref="BE14:BG14"/>
    <mergeCell ref="AV20:AZ20"/>
    <mergeCell ref="AO21:AQ21"/>
    <mergeCell ref="BE21:BI21"/>
    <mergeCell ref="CC21:CJ21"/>
    <mergeCell ref="AO22:AQ22"/>
    <mergeCell ref="BA22:BB22"/>
    <mergeCell ref="CC22:CI22"/>
    <mergeCell ref="AV23:AZ23"/>
    <mergeCell ref="BA23:BF23"/>
    <mergeCell ref="BG23:BJ23"/>
    <mergeCell ref="CN23:CZ23"/>
    <mergeCell ref="AO24:AQ24"/>
    <mergeCell ref="BE24:BG24"/>
    <mergeCell ref="CA24:CE24"/>
    <mergeCell ref="AU24:BD24"/>
    <mergeCell ref="AV25:BB25"/>
    <mergeCell ref="BH25:BN25"/>
    <mergeCell ref="AY27:BJ27"/>
    <mergeCell ref="BK27:BO27"/>
    <mergeCell ref="BP27:BX27"/>
    <mergeCell ref="CW27:DD27"/>
    <mergeCell ref="CN28:DD28"/>
  </mergeCells>
  <conditionalFormatting sqref="C6:I20 J6:K22 L6:U20 V6:V27 W6:W34 X6:Y39 Z6:Z15 AA6:AA29 AB6:AB39 AC6:AE9 AF6:AK17 AL6:AL19 AM6:AM32 AN6:AN25 AO6:AO21 AP6:AP16 AQ6:AQ21 AR6:AS12 AT6:AU19 AV6:AX11 AY6:BE7 BF6:BI10 BT6:BT11 BU6:CB10 CC6:CC9 CD6:CM7 CN6:CP14 CQ6 CR6:CR14 CS6:CT10 CU6:DB7 DC6:DF8 DG6:DH13 DI6:DM6 DN6:DN8 DU6:DY7 DZ6:EB13 EC6:EI31 BJ7:BM16 BN7:BS11 DO7:DT7 EJ7:FM8 CQ8:CQ14 DI8:DI14 DJ8:DL10 DM8:DM14 AY9:BE10 CK9:CL10 CM9:CM14 CU9:CV10 DP9:DQ16 DR9:DR13 DS9:DT12 DU9:DV15 DW9:DW17 DX9:DY13 CJ10 CW10:DD10 DE10:DF13 DN10:DO16 EJ10:FM11 AC11:AC22 AD11:AE17 BH12:BI13 BZ12:CA16 CB12:CI13 CJ12:CL14 CS12:CS14 CT12:CT13 CY12:CZ12 DD12:DD16 DJ12:DL14 CU13:CU14 CV13 CW13:CW16 DB13:DC16 AR14:AS21 AV14:AZ20 BA14:BD16 BE14:BG17 BN14:BO17 BP14:BQ18 BR14:BV15 BW14:BY16 CX14:DA16 DS14:DS16 DT14:DT17 EJ14:EZ25 FA14:FB15 FC14:FM25 CB15:CB16 CC15:CH15 DE15:DF16 DG15 DR15:DR16 DX15:DY17 DZ15:EA18 EB15:EB26 BH16:BI17 CL16:CL22 CM16:CM24 CN16:CO18 CP16:CV16 DK16 Z17:Z29 BR17:BT18 CD17 CE17:CJ18 CK17:CK22 DG17 DU17:DV17 AP18:AP21 BU18:BX18 CP18:CQ18 CR18:CR19 CS18 CT18:CT19 CU18:CU23 CV18:DE19 DF18:DF25 DH18:DH22 DI18:DO18 DP18:DQ19 FA18:FB25 AD19:AH22 AI19:AI32 AJ19:AK19 BA19:BI19 CA19:CB19 DG19:DG22 DR19:DS19 CG20:CH25 CI20:CJ22 CN20:CO24 DI20:DI21 DJ20:DM22 DN20 DW20:DZ20 AJ21:AL32 AT21:AT25 AU21:AU23 BA21:BG23 BH21:BN24 BO21:BV22 BW21:BZ23 CA21:CF25 CP21:CP26 CQ21:CQ25 CR21:CT23 CV21:CW23 DE21:DE25 DO21:DP23 DQ21:DR22 C22:I39 L22:U39 AV22:AZ23 CX22:DB23 DN22:DN23 DS22:DZ22 EA22:EA26 AO23:AS25 DC23:DD23 J24:K39 AC24:AH32 CI24:CI25 CJ24:CL24 DG24 DH24:DH25 DI24:DM24 DT24:DT25 AU25:AY35 AZ25:BD39 BE25:BG36 BZ25 CR25:DD25 DN25:DQ27 DR25:DS25 DU25:DV26 DX25:DZ26 BH26:BS27 BX26:BX27 CK26:CO26 DW26 AN27:AO32 AR27:AR34 AS27:AT35 BT27:BW27 BY27 CA27:CB27 CV27:CW27 DE27 DM27 DR27 AP28:AQ34 BZ28:BZ29 CD28 DZ28:EA29 EB28 EJ28:EY29 FC28:FM29 BH29:BH36 BI29:BJ32 BO29:BP32 BQ29:BY29 CA29:CB29 CF29:CG29 CH29:CH36 CI29:CK34 CL29:CN30 CO29:DC29 DD29:DD30 DE29 DN29:DO29 DQ29:DY29 EZ29:FB29 BK30:BL32 BM30:BM39 BN30:BN32 DG30:DH31 Z31:AA39 BQ31:BS31 BT31:BV33 BW31:BX37 BZ31:CF32 CG31:CG36 DF31 DI31:DJ31 DR31:DV33 DW31:DW34 DX31:DX32 EA31:EA32 EB31 EJ31:EY32 EZ31:FB34 FC31:FM32 BY32 CL32:CR34 CS32:CS33 CT32:CW32 DN32:DO34 DP32 DQ32:DQ33 DY32 DH33:DI33 EB33:EH38 EI33:EI39 AC34:AL39 AM34:AO34 BI34:BI36 BJ34:BL39 BN34:BR39 BY34:BY37 CA34:CF36 CY34:CY38 CZ34:CZ37 DA34:DD36 DE34:DE35 DL34:DM34 DX34:EA34 EJ34:EY34 FC34:FM34 BS35:BV39 BZ35:BZ36 CT35:CX38 DF35:DI35 DR35:DR37 W36:W39 CI36:CN36 CO36:CO38 CP36:CS36 DN36:DQ38 DS36:DY37 DZ36:EA38 EJ36:FM39 AM37:AY39 DL37:DM38 BE38:BI39 CL38:CN38 CP38:CS38 DA38:DB38 DH38:DK38 BO44:BP44 AW45:AY45 AZ46:BB46 BH46 AN49:AR49 DC49:DG49 DD51:DG51">
    <cfRule type="beginsWith" dxfId="3" priority="1" operator="beginsWith" text="bk">
      <formula>LEFT((C6),LEN("bk"))=("bk")</formula>
    </cfRule>
  </conditionalFormatting>
  <conditionalFormatting sqref="C6:I20 J6:K22 L6:U20 V6:V27 W6:W34 X6:Y39 Z6:Z15 AA6:AA29 AB6:AB39 AC6:AE9 AF6:AK17 AL6:AL19 AM6:AM32 AN6:AN25 AO6:AO21 AP6:AP16 AQ6:AQ21 AR6:AS12 AT6:AU19 AV6:AX11 AY6:BE7 BF6:BI10 BT6:BT11 BU6:CB10 CC6:CC9 CD6:CM7 CN6:CP14 CQ6 CR6:CR14 CS6:CT10 CU6:DB7 DC6:DF8 DG6:DH13 DI6:DM6 DN6:DN8 DU6:DY7 DZ6:EB13 EC6:EI31 BJ7:BM16 BN7:BS11 DO7:DT7 EJ7:FM8 CQ8:CQ14 DI8:DI14 DJ8:DL10 DM8:DM14 AY9:BE10 CK9:CL10 CM9:CM14 CU9:CV10 DP9:DQ16 DR9:DR13 DS9:DT12 DU9:DV15 DW9:DW17 DX9:DY13 CJ10 CW10:DD10 DE10:DF13 DN10:DO16 EJ10:FM11 AC11:AC22 AD11:AE17 BH12:BI13 BZ12:CA16 CB12:CI13 CJ12:CL14 CS12:CS14 CT12:CT13 CY12:CZ12 DD12:DD16 DJ12:DL14 CU13:CU14 CV13 CW13:CW16 DB13:DC16 AR14:AS21 AV14:AZ20 BA14:BD16 BE14:BG17 BN14:BO17 BP14:BQ18 BR14:BV15 BW14:BY16 CX14:DA16 DS14:DS16 DT14:DT17 EJ14:EZ25 FA14:FB15 FC14:FM25 CB15:CB16 CC15:CH15 DE15:DF16 DG15 DR15:DR16 DX15:DY17 DZ15:EA18 EB15:EB26 BH16:BI17 CL16:CL22 CM16:CM24 CN16:CO18 CP16:CV16 DK16 Z17:Z29 BR17:BT18 CD17 CE17:CJ18 CK17:CK22 DG17 DU17:DV17 AP18:AP21 BU18:BX18 CP18:CQ18 CR18:CR19 CS18 CT18:CT19 CU18:CU23 CV18:DE19 DF18:DF25 DH18:DH22 DI18:DO18 DP18:DQ19 FA18:FB25 AD19:AH22 AI19:AI32 AJ19:AK19 BA19:BI19 CA19:CB19 DG19:DG22 DR19:DS19 CG20:CH25 CI20:CJ22 CN20:CO24 DI20:DI21 DJ20:DM22 DN20 DW20:DZ20 AJ21:AL32 AT21:AT25 AU21:AU23 BA21:BG23 BH21:BN24 BO21:BV22 BW21:BZ23 CA21:CF25 CP21:CP26 CQ21:CQ25 CR21:CT23 CV21:CW23 DE21:DE25 DO21:DP23 DQ21:DR22 C22:I39 L22:U39 AV22:AZ23 CX22:DB23 DN22:DN23 DS22:DZ22 EA22:EA26 AO23:AS25 DC23:DD23 J24:K39 AC24:AH32 CI24:CI25 CJ24:CL24 DG24 DH24:DH25 DI24:DM24 DT24:DT25 AU25:AY35 AZ25:BD39 BE25:BG36 BZ25 CR25:DD25 DN25:DQ27 DR25:DS25 DU25:DV26 DX25:DZ26 BH26:BS27 BX26:BX27 CK26:CO26 DW26 AN27:AO32 AR27:AR34 AS27:AT35 BT27:BW27 BY27 CA27:CB27 CV27:CW27 DE27 DM27 DR27 AP28:AQ34 BZ28:BZ29 CD28 DZ28:EA29 EB28 EJ28:EY29 FC28:FM29 BH29:BH36 BI29:BJ32 BO29:BP32 BQ29:BY29 CA29:CB29 CF29:CG29 CH29:CH36 CI29:CK34 CL29:CN30 CO29:DC29 DD29:DD30 DE29 DN29:DO29 DQ29:DY29 EZ29:FB29 BK30:BL32 BM30:BM39 BN30:BN32 DG30:DH31 Z31:AA39 BQ31:BS31 BT31:BV33 BW31:BX37 BZ31:CF32 CG31:CG36 DF31 DI31:DJ31 DR31:DV33 DW31:DW34 DX31:DX32 EA31:EA32 EB31 EJ31:EY32 EZ31:FB34 FC31:FM32 BY32 CL32:CR34 CS32:CS33 CT32:CW32 DN32:DO34 DP32 DQ32:DQ33 DY32 DH33:DI33 EB33:EH38 EI33:EI39 AC34:AL39 AM34:AO34 BI34:BI36 BJ34:BL39 BN34:BR39 BY34:BY37 CA34:CF36 CY34:CY38 CZ34:CZ37 DA34:DD36 DE34:DE35 DL34:DM34 DX34:EA34 EJ34:EY34 FC34:FM34 BS35:BV39 BZ35:BZ36 CT35:CX38 DF35:DI35 DR35:DR37 W36:W39 CI36:CN36 CO36:CO38 CP36:CS36 DN36:DQ38 DS36:DY37 DZ36:EA38 EJ36:FM39 AM37:AY39 DL37:DM38 BE38:BI39 CL38:CN38 CP38:CS38 DA38:DB38 DH38:DK38 BO44:BP44 AW45:AY45 AZ46:BB46 BH46 AN49:AR49 DC49:DG49 DD51:DG51">
    <cfRule type="beginsWith" dxfId="4" priority="2" operator="beginsWith" text="SC">
      <formula>LEFT((C6),LEN("SC"))=("SC")</formula>
    </cfRule>
  </conditionalFormatting>
  <conditionalFormatting sqref="C6:I20 J6:K22 L6:U20 V6:V27 W6:W34 X6:Y39 Z6:Z15 AA6:AA29 AB6:AB39 AC6:AE9 AF6:AK17 AL6:AL19 AM6:AM32 AN6:AN25 AO6:AO21 AP6:AP16 AQ6:AQ21 AR6:AS12 AT6:AU19 AV6:AX11 AY6:BE7 BF6:BI10 BT6:BT11 BU6:CB10 CC6:CC9 CD6:CM7 CN6:CP14 CQ6 CR6:CR14 CS6:CT10 CU6:DB7 DC6:DF8 DG6:DH13 DI6:DM6 DN6:DN8 DU6:DY7 DZ6:EB13 EC6:EI31 BJ7:BM16 BN7:BS11 DO7:DT7 EJ7:FM8 CQ8:CQ14 DI8:DI14 DJ8:DL10 DM8:DM14 AY9:BE10 CK9:CL10 CM9:CM14 CU9:CV10 DP9:DQ16 DR9:DR13 DS9:DT12 DU9:DV15 DW9:DW17 DX9:DY13 CJ10 CW10:DD10 DE10:DF13 DN10:DO16 EJ10:FM11 AC11:AC22 AD11:AE17 BH12:BI13 BZ12:CA16 CB12:CI13 CJ12:CL14 CS12:CS14 CT12:CT13 CY12:CZ12 DD12:DD16 DJ12:DL14 CU13:CU14 CV13 CW13:CW16 DB13:DC16 AR14:AS21 AV14:AZ20 BA14:BD16 BE14:BG17 BN14:BO17 BP14:BQ18 BR14:BV15 BW14:BY16 CX14:DA16 DS14:DS16 DT14:DT17 EJ14:EZ25 FA14:FB15 FC14:FM25 CB15:CB16 CC15:CH15 DE15:DF16 DG15 DR15:DR16 DX15:DY17 DZ15:EA18 EB15:EB26 BH16:BI17 CL16:CL22 CM16:CM24 CN16:CO18 CP16:CV16 DK16 Z17:Z29 BR17:BT18 CD17 CE17:CJ18 CK17:CK22 DG17 DU17:DV17 AP18:AP21 BU18:BX18 CP18:CQ18 CR18:CR19 CS18 CT18:CT19 CU18:CU23 CV18:DE19 DF18:DF25 DH18:DH22 DI18:DO18 DP18:DQ19 FA18:FB25 AD19:AH22 AI19:AI32 AJ19:AK19 BA19:BI19 CA19:CB19 DG19:DG22 DR19:DS19 CG20:CH25 CI20:CJ22 CN20:CO24 DI20:DI21 DJ20:DM22 DN20 DW20:DZ20 AJ21:AL32 AT21:AT25 AU21:AU23 BA21:BG23 BH21:BN24 BO21:BV22 BW21:BZ23 CA21:CF25 CP21:CP26 CQ21:CQ25 CR21:CT23 CV21:CW23 DE21:DE25 DO21:DP23 DQ21:DR22 C22:I39 L22:U39 AV22:AZ23 CX22:DB23 DN22:DN23 DS22:DZ22 EA22:EA26 AO23:AS25 DC23:DD23 J24:K39 AC24:AH32 CI24:CI25 CJ24:CL24 DG24 DH24:DH25 DI24:DM24 DT24:DT25 AU25:AY35 AZ25:BD39 BE25:BG36 BZ25 CR25:DD25 DN25:DQ27 DR25:DS25 DU25:DV26 DX25:DZ26 BH26:BS27 BX26:BX27 CK26:CO26 DW26 AN27:AO32 AR27:AR34 AS27:AT35 BT27:BW27 BY27 CA27:CB27 CV27:CW27 DE27 DM27 DR27 AP28:AQ34 BZ28:BZ29 CD28 DZ28:EA29 EB28 EJ28:EY29 FC28:FM29 BH29:BH36 BI29:BJ32 BO29:BP32 BQ29:BY29 CA29:CB29 CF29:CG29 CH29:CH36 CI29:CK34 CL29:CN30 CO29:DC29 DD29:DD30 DE29 DN29:DO29 DQ29:DY29 EZ29:FB29 BK30:BL32 BM30:BM39 BN30:BN32 DG30:DH31 Z31:AA39 BQ31:BS31 BT31:BV33 BW31:BX37 BZ31:CF32 CG31:CG36 DF31 DI31:DJ31 DR31:DV33 DW31:DW34 DX31:DX32 EA31:EA32 EB31 EJ31:EY32 EZ31:FB34 FC31:FM32 BY32 CL32:CR34 CS32:CS33 CT32:CW32 DN32:DO34 DP32 DQ32:DQ33 DY32 DH33:DI33 EB33:EH38 EI33:EI39 AC34:AL39 AM34:AO34 BI34:BI36 BJ34:BL39 BN34:BR39 BY34:BY37 CA34:CF36 CY34:CY38 CZ34:CZ37 DA34:DD36 DE34:DE35 DL34:DM34 DX34:EA34 EJ34:EY34 FC34:FM34 BS35:BV39 BZ35:BZ36 CT35:CX38 DF35:DI35 DR35:DR37 W36:W39 CI36:CN36 CO36:CO38 CP36:CS36 DN36:DQ38 DS36:DY37 DZ36:EA38 EJ36:FM39 AM37:AY39 DL37:DM38 BE38:BI39 CL38:CN38 CP38:CS38 DA38:DB38 DH38:DK38 BO44:BP44 AW45:AY45 AZ46:BB46 BH46 AN49:AR49 DC49:DG49 DD51:DG51">
    <cfRule type="notContainsBlanks" dxfId="5" priority="3">
      <formula>LEN(TRIM(C6))&gt;0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38"/>
    <col customWidth="1" min="4" max="4" width="14.13"/>
    <col customWidth="1" min="7" max="7" width="17.25"/>
    <col customWidth="1" min="10" max="10" width="2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2" t="s">
        <v>12</v>
      </c>
      <c r="B2" s="2" t="s">
        <v>13</v>
      </c>
      <c r="C2" s="1" t="s">
        <v>15</v>
      </c>
      <c r="D2" s="1" t="s">
        <v>16</v>
      </c>
      <c r="E2" s="5">
        <v>46419.0</v>
      </c>
      <c r="F2" s="5">
        <v>46426.0</v>
      </c>
      <c r="G2" s="1">
        <v>4.0</v>
      </c>
      <c r="H2" s="1" t="s">
        <v>35</v>
      </c>
      <c r="I2" s="1" t="s">
        <v>42</v>
      </c>
      <c r="J2" s="1" t="s">
        <v>43</v>
      </c>
    </row>
    <row r="3">
      <c r="A3" s="2" t="s">
        <v>44</v>
      </c>
      <c r="B3" s="2" t="s">
        <v>45</v>
      </c>
      <c r="C3" s="1" t="s">
        <v>46</v>
      </c>
      <c r="D3" s="1" t="s">
        <v>47</v>
      </c>
      <c r="E3" s="5">
        <v>46406.0</v>
      </c>
      <c r="F3" s="5">
        <v>46415.0</v>
      </c>
      <c r="G3" s="1">
        <v>2.0</v>
      </c>
      <c r="H3" s="1" t="s">
        <v>48</v>
      </c>
      <c r="I3" s="1" t="s">
        <v>49</v>
      </c>
      <c r="J3" s="1" t="s">
        <v>50</v>
      </c>
    </row>
    <row r="4">
      <c r="A4" s="2" t="s">
        <v>51</v>
      </c>
      <c r="B4" s="2" t="s">
        <v>45</v>
      </c>
      <c r="C4" s="1" t="s">
        <v>52</v>
      </c>
      <c r="D4" s="1" t="s">
        <v>53</v>
      </c>
      <c r="E4" s="5">
        <v>46389.0</v>
      </c>
      <c r="F4" s="5">
        <v>46401.0</v>
      </c>
      <c r="G4" s="1">
        <v>2.0</v>
      </c>
      <c r="H4" s="1" t="s">
        <v>48</v>
      </c>
      <c r="I4" s="1" t="s">
        <v>42</v>
      </c>
      <c r="J4" s="1" t="s">
        <v>50</v>
      </c>
    </row>
    <row r="5">
      <c r="A5" s="2" t="s">
        <v>54</v>
      </c>
      <c r="B5" s="2" t="s">
        <v>55</v>
      </c>
      <c r="C5" s="1" t="s">
        <v>56</v>
      </c>
      <c r="D5" s="1" t="s">
        <v>57</v>
      </c>
      <c r="E5" s="5">
        <v>46382.0</v>
      </c>
      <c r="F5" s="5">
        <v>46399.0</v>
      </c>
      <c r="G5" s="1">
        <v>1.0</v>
      </c>
      <c r="H5" s="1" t="s">
        <v>58</v>
      </c>
      <c r="I5" s="1" t="s">
        <v>42</v>
      </c>
      <c r="J5" s="1" t="s">
        <v>59</v>
      </c>
    </row>
    <row r="6">
      <c r="A6" s="2" t="s">
        <v>60</v>
      </c>
      <c r="B6" s="2" t="s">
        <v>61</v>
      </c>
      <c r="C6" s="1" t="s">
        <v>62</v>
      </c>
      <c r="D6" s="1" t="s">
        <v>63</v>
      </c>
      <c r="E6" s="5">
        <v>46396.0</v>
      </c>
      <c r="F6" s="5">
        <v>46405.0</v>
      </c>
      <c r="G6" s="1">
        <v>2.0</v>
      </c>
      <c r="H6" s="1" t="s">
        <v>48</v>
      </c>
      <c r="I6" s="1" t="s">
        <v>42</v>
      </c>
      <c r="J6" s="1" t="s">
        <v>64</v>
      </c>
    </row>
    <row r="7">
      <c r="A7" s="2" t="s">
        <v>65</v>
      </c>
      <c r="B7" s="2" t="s">
        <v>66</v>
      </c>
      <c r="C7" s="1" t="s">
        <v>67</v>
      </c>
      <c r="D7" s="1" t="s">
        <v>68</v>
      </c>
      <c r="E7" s="5">
        <v>46410.0</v>
      </c>
      <c r="F7" s="5">
        <v>46415.0</v>
      </c>
      <c r="G7" s="1" t="s">
        <v>69</v>
      </c>
      <c r="H7" s="1" t="s">
        <v>48</v>
      </c>
      <c r="I7" s="1" t="s">
        <v>42</v>
      </c>
    </row>
    <row r="8">
      <c r="A8" s="2" t="s">
        <v>70</v>
      </c>
      <c r="B8" s="2" t="s">
        <v>71</v>
      </c>
      <c r="C8" s="1" t="s">
        <v>67</v>
      </c>
      <c r="D8" s="1" t="s">
        <v>68</v>
      </c>
      <c r="E8" s="5">
        <v>46410.0</v>
      </c>
      <c r="F8" s="5">
        <v>46415.0</v>
      </c>
      <c r="G8" s="1">
        <v>2.0</v>
      </c>
      <c r="H8" s="1" t="s">
        <v>48</v>
      </c>
      <c r="I8" s="1" t="s">
        <v>42</v>
      </c>
    </row>
    <row r="9">
      <c r="A9" s="2" t="s">
        <v>72</v>
      </c>
      <c r="B9" s="2" t="s">
        <v>66</v>
      </c>
      <c r="C9" s="1" t="s">
        <v>73</v>
      </c>
      <c r="D9" s="1" t="s">
        <v>74</v>
      </c>
      <c r="E9" s="5">
        <v>46390.0</v>
      </c>
      <c r="F9" s="5">
        <v>46404.0</v>
      </c>
      <c r="G9" s="1">
        <v>2.0</v>
      </c>
      <c r="H9" s="1" t="s">
        <v>48</v>
      </c>
      <c r="I9" s="1" t="s">
        <v>75</v>
      </c>
      <c r="J9" s="1" t="s">
        <v>76</v>
      </c>
    </row>
    <row r="10">
      <c r="A10" s="2" t="s">
        <v>77</v>
      </c>
      <c r="B10" s="2" t="s">
        <v>45</v>
      </c>
      <c r="C10" s="1" t="s">
        <v>78</v>
      </c>
      <c r="D10" s="1" t="s">
        <v>79</v>
      </c>
      <c r="E10" s="5">
        <v>46439.0</v>
      </c>
      <c r="F10" s="5">
        <v>46447.0</v>
      </c>
      <c r="G10" s="1">
        <v>2.0</v>
      </c>
      <c r="H10" s="1" t="s">
        <v>48</v>
      </c>
      <c r="I10" s="1" t="s">
        <v>42</v>
      </c>
      <c r="J10" s="1" t="s">
        <v>50</v>
      </c>
    </row>
    <row r="11">
      <c r="A11" s="2" t="s">
        <v>80</v>
      </c>
      <c r="B11" s="2" t="s">
        <v>61</v>
      </c>
      <c r="C11" s="1" t="s">
        <v>81</v>
      </c>
      <c r="D11" s="1" t="s">
        <v>82</v>
      </c>
      <c r="E11" s="5">
        <v>46389.0</v>
      </c>
      <c r="F11" s="5">
        <v>46396.0</v>
      </c>
      <c r="G11" s="1">
        <v>2.0</v>
      </c>
      <c r="H11" s="1" t="s">
        <v>48</v>
      </c>
      <c r="I11" s="1" t="s">
        <v>42</v>
      </c>
      <c r="J11" s="1" t="s">
        <v>83</v>
      </c>
    </row>
    <row r="12">
      <c r="A12" s="2" t="s">
        <v>85</v>
      </c>
      <c r="B12" s="2" t="s">
        <v>86</v>
      </c>
      <c r="C12" s="1" t="s">
        <v>87</v>
      </c>
      <c r="D12" s="1" t="s">
        <v>88</v>
      </c>
      <c r="E12" s="5">
        <v>46423.0</v>
      </c>
      <c r="F12" s="5">
        <v>46428.0</v>
      </c>
      <c r="G12" s="1">
        <v>3.0</v>
      </c>
      <c r="H12" s="1" t="s">
        <v>48</v>
      </c>
      <c r="I12" s="1" t="s">
        <v>42</v>
      </c>
    </row>
    <row r="13">
      <c r="A13" s="2" t="s">
        <v>89</v>
      </c>
      <c r="B13" s="2" t="s">
        <v>90</v>
      </c>
      <c r="C13" s="1" t="s">
        <v>91</v>
      </c>
      <c r="D13" s="1" t="s">
        <v>92</v>
      </c>
      <c r="E13" s="5">
        <v>46386.0</v>
      </c>
      <c r="F13" s="5">
        <v>46398.0</v>
      </c>
      <c r="G13" s="1">
        <v>1.0</v>
      </c>
      <c r="H13" s="1" t="s">
        <v>48</v>
      </c>
      <c r="I13" s="1" t="s">
        <v>42</v>
      </c>
      <c r="J13" s="1" t="s">
        <v>83</v>
      </c>
    </row>
    <row r="14">
      <c r="A14" s="2" t="s">
        <v>93</v>
      </c>
      <c r="B14" s="2" t="s">
        <v>94</v>
      </c>
      <c r="C14" s="1" t="s">
        <v>95</v>
      </c>
      <c r="D14" s="1" t="s">
        <v>96</v>
      </c>
      <c r="E14" s="5">
        <v>46386.0</v>
      </c>
      <c r="F14" s="5">
        <v>46398.0</v>
      </c>
      <c r="G14" s="1">
        <v>4.0</v>
      </c>
      <c r="H14" s="1" t="s">
        <v>48</v>
      </c>
      <c r="I14" s="1" t="s">
        <v>42</v>
      </c>
      <c r="J14" s="1" t="s">
        <v>97</v>
      </c>
    </row>
    <row r="15">
      <c r="A15" s="2" t="s">
        <v>98</v>
      </c>
      <c r="B15" s="2" t="s">
        <v>99</v>
      </c>
      <c r="C15" s="1" t="s">
        <v>100</v>
      </c>
      <c r="D15" s="1" t="s">
        <v>101</v>
      </c>
      <c r="E15" s="5">
        <v>46391.0</v>
      </c>
      <c r="F15" s="5">
        <v>46398.0</v>
      </c>
      <c r="G15" s="1">
        <v>1.0</v>
      </c>
      <c r="H15" s="1" t="s">
        <v>48</v>
      </c>
      <c r="I15" s="1" t="s">
        <v>42</v>
      </c>
    </row>
    <row r="16">
      <c r="A16" s="2" t="s">
        <v>102</v>
      </c>
      <c r="B16" s="2" t="s">
        <v>103</v>
      </c>
      <c r="C16" s="1" t="s">
        <v>104</v>
      </c>
      <c r="D16" s="1" t="s">
        <v>105</v>
      </c>
      <c r="E16" s="5">
        <v>46410.0</v>
      </c>
      <c r="F16" s="5">
        <v>46419.0</v>
      </c>
      <c r="G16" s="1">
        <v>4.0</v>
      </c>
      <c r="H16" s="1" t="s">
        <v>35</v>
      </c>
      <c r="I16" s="1" t="s">
        <v>42</v>
      </c>
      <c r="J16" s="1" t="s">
        <v>106</v>
      </c>
    </row>
    <row r="17">
      <c r="A17" s="2" t="s">
        <v>107</v>
      </c>
      <c r="B17" s="2" t="s">
        <v>108</v>
      </c>
      <c r="C17" s="1" t="s">
        <v>109</v>
      </c>
      <c r="D17" s="1" t="s">
        <v>110</v>
      </c>
      <c r="E17" s="5">
        <v>46422.0</v>
      </c>
      <c r="F17" s="5">
        <v>46432.0</v>
      </c>
      <c r="G17" s="1">
        <v>2.0</v>
      </c>
      <c r="H17" s="1" t="s">
        <v>48</v>
      </c>
      <c r="I17" s="1" t="s">
        <v>42</v>
      </c>
      <c r="J17" s="1" t="s">
        <v>111</v>
      </c>
    </row>
    <row r="18">
      <c r="A18" s="2" t="s">
        <v>112</v>
      </c>
      <c r="B18" s="2" t="s">
        <v>99</v>
      </c>
      <c r="C18" s="1" t="s">
        <v>113</v>
      </c>
      <c r="D18" s="1" t="s">
        <v>114</v>
      </c>
      <c r="E18" s="5">
        <v>46379.0</v>
      </c>
      <c r="F18" s="5">
        <v>46382.0</v>
      </c>
      <c r="G18" s="1">
        <v>1.0</v>
      </c>
      <c r="H18" s="1" t="s">
        <v>48</v>
      </c>
      <c r="I18" s="1" t="s">
        <v>42</v>
      </c>
      <c r="J18" s="1" t="s">
        <v>115</v>
      </c>
    </row>
    <row r="19">
      <c r="A19" s="2" t="s">
        <v>116</v>
      </c>
      <c r="B19" s="2" t="s">
        <v>117</v>
      </c>
      <c r="C19" s="1" t="s">
        <v>113</v>
      </c>
      <c r="D19" s="1" t="s">
        <v>114</v>
      </c>
      <c r="E19" s="5">
        <v>46382.0</v>
      </c>
      <c r="F19" s="5">
        <v>46382.0</v>
      </c>
      <c r="G19" s="1">
        <v>2.0</v>
      </c>
      <c r="H19" s="1" t="s">
        <v>48</v>
      </c>
      <c r="I19" s="1" t="s">
        <v>42</v>
      </c>
    </row>
    <row r="20">
      <c r="A20" s="2" t="s">
        <v>118</v>
      </c>
      <c r="B20" s="2" t="s">
        <v>119</v>
      </c>
      <c r="C20" s="1" t="s">
        <v>113</v>
      </c>
      <c r="D20" s="1" t="s">
        <v>114</v>
      </c>
      <c r="E20" s="5">
        <v>46382.0</v>
      </c>
      <c r="F20" s="5">
        <v>46382.0</v>
      </c>
      <c r="G20" s="1">
        <v>3.0</v>
      </c>
      <c r="H20" s="1" t="s">
        <v>48</v>
      </c>
      <c r="I20" s="1" t="s">
        <v>42</v>
      </c>
    </row>
    <row r="21">
      <c r="A21" s="2" t="s">
        <v>121</v>
      </c>
      <c r="B21" s="2" t="s">
        <v>122</v>
      </c>
      <c r="C21" s="1" t="s">
        <v>113</v>
      </c>
      <c r="D21" s="1" t="s">
        <v>114</v>
      </c>
      <c r="E21" s="5">
        <v>46379.0</v>
      </c>
      <c r="F21" s="5">
        <v>46382.0</v>
      </c>
      <c r="G21" s="1">
        <v>4.0</v>
      </c>
      <c r="H21" s="1" t="s">
        <v>48</v>
      </c>
      <c r="I21" s="1" t="s">
        <v>42</v>
      </c>
    </row>
    <row r="22">
      <c r="A22" s="2" t="s">
        <v>124</v>
      </c>
      <c r="B22" s="2" t="s">
        <v>94</v>
      </c>
      <c r="C22" s="1" t="s">
        <v>113</v>
      </c>
      <c r="D22" s="1" t="s">
        <v>114</v>
      </c>
      <c r="E22" s="5">
        <v>46379.0</v>
      </c>
      <c r="F22" s="5">
        <v>46382.0</v>
      </c>
      <c r="G22" s="1">
        <v>4.0</v>
      </c>
      <c r="H22" s="1" t="s">
        <v>48</v>
      </c>
      <c r="I22" s="1" t="s">
        <v>42</v>
      </c>
    </row>
    <row r="23">
      <c r="A23" s="2" t="s">
        <v>125</v>
      </c>
      <c r="B23" s="2" t="s">
        <v>126</v>
      </c>
      <c r="C23" s="1" t="s">
        <v>127</v>
      </c>
      <c r="D23" s="1" t="s">
        <v>63</v>
      </c>
      <c r="E23" s="5">
        <v>46396.0</v>
      </c>
      <c r="F23" s="23">
        <v>46405.0</v>
      </c>
      <c r="G23" s="1">
        <v>1.0</v>
      </c>
      <c r="H23" s="1" t="s">
        <v>48</v>
      </c>
      <c r="I23" s="1" t="s">
        <v>42</v>
      </c>
      <c r="J23" s="1" t="s">
        <v>128</v>
      </c>
    </row>
    <row r="24">
      <c r="A24" s="2" t="s">
        <v>129</v>
      </c>
      <c r="B24" s="2" t="s">
        <v>130</v>
      </c>
      <c r="C24" s="1" t="s">
        <v>131</v>
      </c>
      <c r="D24" s="1" t="s">
        <v>132</v>
      </c>
      <c r="E24" s="5">
        <v>46383.0</v>
      </c>
      <c r="F24" s="5">
        <v>46388.0</v>
      </c>
      <c r="G24" s="1">
        <v>4.0</v>
      </c>
      <c r="H24" s="1" t="s">
        <v>48</v>
      </c>
      <c r="I24" s="1" t="s">
        <v>42</v>
      </c>
      <c r="J24" s="1" t="s">
        <v>128</v>
      </c>
    </row>
    <row r="25">
      <c r="A25" s="2" t="s">
        <v>133</v>
      </c>
      <c r="B25" s="2" t="s">
        <v>134</v>
      </c>
      <c r="C25" s="1" t="s">
        <v>46</v>
      </c>
      <c r="D25" s="1" t="s">
        <v>135</v>
      </c>
      <c r="E25" s="5">
        <v>46383.0</v>
      </c>
      <c r="F25" s="5">
        <v>46397.0</v>
      </c>
      <c r="G25" s="1" t="s">
        <v>136</v>
      </c>
      <c r="H25" s="1" t="s">
        <v>48</v>
      </c>
      <c r="I25" s="24"/>
      <c r="J25" s="1" t="s">
        <v>128</v>
      </c>
    </row>
    <row r="26">
      <c r="A26" s="2" t="s">
        <v>138</v>
      </c>
      <c r="B26" s="2" t="s">
        <v>139</v>
      </c>
      <c r="C26" s="1" t="s">
        <v>140</v>
      </c>
      <c r="D26" s="1" t="s">
        <v>141</v>
      </c>
      <c r="E26" s="5">
        <v>46385.0</v>
      </c>
      <c r="F26" s="5">
        <v>46393.0</v>
      </c>
      <c r="G26" s="1">
        <v>4.0</v>
      </c>
      <c r="H26" s="1" t="s">
        <v>48</v>
      </c>
      <c r="I26" s="24"/>
      <c r="J26" s="1" t="s">
        <v>128</v>
      </c>
    </row>
    <row r="27">
      <c r="A27" s="2" t="s">
        <v>143</v>
      </c>
      <c r="B27" s="2" t="s">
        <v>144</v>
      </c>
      <c r="C27" s="1" t="s">
        <v>146</v>
      </c>
      <c r="D27" s="1" t="s">
        <v>147</v>
      </c>
      <c r="E27" s="5">
        <v>46430.0</v>
      </c>
      <c r="F27" s="5">
        <v>46443.0</v>
      </c>
      <c r="G27" s="1">
        <v>1.0</v>
      </c>
      <c r="H27" s="1" t="s">
        <v>48</v>
      </c>
      <c r="I27" s="24"/>
      <c r="J27" s="1" t="s">
        <v>128</v>
      </c>
    </row>
    <row r="28">
      <c r="A28" s="2" t="s">
        <v>148</v>
      </c>
      <c r="B28" s="2" t="s">
        <v>86</v>
      </c>
      <c r="C28" s="1" t="s">
        <v>149</v>
      </c>
      <c r="D28" s="1" t="s">
        <v>150</v>
      </c>
      <c r="E28" s="5">
        <v>46389.0</v>
      </c>
      <c r="F28" s="5">
        <v>46396.0</v>
      </c>
      <c r="G28" s="1">
        <v>2.0</v>
      </c>
      <c r="H28" s="1" t="s">
        <v>48</v>
      </c>
      <c r="I28" s="1" t="s">
        <v>42</v>
      </c>
      <c r="J28" s="1" t="s">
        <v>128</v>
      </c>
    </row>
    <row r="29">
      <c r="A29" s="2" t="s">
        <v>151</v>
      </c>
      <c r="B29" s="2" t="s">
        <v>126</v>
      </c>
      <c r="C29" s="1" t="s">
        <v>152</v>
      </c>
      <c r="D29" s="1" t="s">
        <v>153</v>
      </c>
      <c r="E29" s="5">
        <v>46389.0</v>
      </c>
      <c r="F29" s="5">
        <v>46396.0</v>
      </c>
      <c r="G29" s="1">
        <v>1.0</v>
      </c>
      <c r="H29" s="1" t="s">
        <v>48</v>
      </c>
      <c r="I29" s="1" t="s">
        <v>42</v>
      </c>
    </row>
    <row r="30">
      <c r="A30" s="2" t="s">
        <v>154</v>
      </c>
      <c r="B30" s="2" t="s">
        <v>155</v>
      </c>
      <c r="C30" s="1" t="s">
        <v>156</v>
      </c>
      <c r="D30" s="1" t="s">
        <v>157</v>
      </c>
      <c r="E30" s="5">
        <v>46398.0</v>
      </c>
      <c r="F30" s="5">
        <v>46405.0</v>
      </c>
      <c r="G30" s="1">
        <v>2.0</v>
      </c>
      <c r="H30" s="1" t="s">
        <v>48</v>
      </c>
      <c r="I30" s="24"/>
      <c r="J30" s="1" t="s">
        <v>158</v>
      </c>
    </row>
    <row r="31">
      <c r="A31" s="2" t="s">
        <v>159</v>
      </c>
      <c r="B31" s="2" t="s">
        <v>161</v>
      </c>
      <c r="C31" s="1" t="s">
        <v>162</v>
      </c>
      <c r="D31" s="1" t="s">
        <v>163</v>
      </c>
      <c r="E31" s="5">
        <v>46384.0</v>
      </c>
      <c r="F31" s="5">
        <v>46397.0</v>
      </c>
      <c r="G31" s="1">
        <v>4.0</v>
      </c>
      <c r="H31" s="1" t="s">
        <v>48</v>
      </c>
      <c r="I31" s="1" t="s">
        <v>42</v>
      </c>
      <c r="J31" s="1" t="s">
        <v>128</v>
      </c>
    </row>
    <row r="32">
      <c r="A32" s="2" t="s">
        <v>164</v>
      </c>
      <c r="B32" s="2" t="s">
        <v>165</v>
      </c>
      <c r="C32" s="1" t="s">
        <v>166</v>
      </c>
      <c r="D32" s="1" t="s">
        <v>167</v>
      </c>
      <c r="E32" s="5">
        <v>46392.0</v>
      </c>
      <c r="F32" s="5">
        <v>46397.0</v>
      </c>
      <c r="G32" s="1">
        <v>2.0</v>
      </c>
      <c r="H32" s="1" t="s">
        <v>48</v>
      </c>
      <c r="I32" s="1" t="s">
        <v>42</v>
      </c>
      <c r="J32" s="1" t="s">
        <v>170</v>
      </c>
    </row>
    <row r="33">
      <c r="A33" s="2" t="s">
        <v>171</v>
      </c>
      <c r="B33" s="2" t="s">
        <v>117</v>
      </c>
      <c r="C33" s="1" t="s">
        <v>152</v>
      </c>
      <c r="D33" s="1" t="s">
        <v>172</v>
      </c>
      <c r="E33" s="34">
        <v>46385.0</v>
      </c>
      <c r="F33" s="5">
        <v>46395.0</v>
      </c>
      <c r="G33" s="1">
        <v>2.0</v>
      </c>
      <c r="H33" s="1" t="s">
        <v>48</v>
      </c>
      <c r="I33" s="1" t="s">
        <v>42</v>
      </c>
      <c r="J33" s="1" t="s">
        <v>170</v>
      </c>
    </row>
    <row r="34">
      <c r="A34" s="2" t="s">
        <v>174</v>
      </c>
      <c r="B34" s="2" t="s">
        <v>155</v>
      </c>
      <c r="C34" s="1" t="s">
        <v>175</v>
      </c>
      <c r="D34" s="1" t="s">
        <v>176</v>
      </c>
      <c r="E34" s="5">
        <v>46386.0</v>
      </c>
      <c r="F34" s="5">
        <v>46393.0</v>
      </c>
      <c r="G34" s="1">
        <v>2.0</v>
      </c>
      <c r="H34" s="1" t="s">
        <v>48</v>
      </c>
      <c r="I34" s="24"/>
      <c r="J34" s="1" t="s">
        <v>158</v>
      </c>
    </row>
    <row r="35">
      <c r="A35" s="2" t="s">
        <v>177</v>
      </c>
      <c r="B35" s="2" t="s">
        <v>178</v>
      </c>
      <c r="C35" s="1" t="s">
        <v>179</v>
      </c>
      <c r="D35" s="1" t="s">
        <v>181</v>
      </c>
      <c r="E35" s="5">
        <v>46383.0</v>
      </c>
      <c r="F35" s="5">
        <v>46388.0</v>
      </c>
      <c r="G35" s="1">
        <v>2.0</v>
      </c>
      <c r="H35" s="1" t="s">
        <v>48</v>
      </c>
      <c r="I35" s="1" t="s">
        <v>42</v>
      </c>
      <c r="J35" s="1" t="s">
        <v>83</v>
      </c>
    </row>
    <row r="36">
      <c r="A36" s="2" t="s">
        <v>182</v>
      </c>
      <c r="B36" s="2" t="s">
        <v>103</v>
      </c>
      <c r="C36" s="1" t="s">
        <v>183</v>
      </c>
      <c r="D36" s="1" t="s">
        <v>184</v>
      </c>
      <c r="E36" s="5">
        <v>46389.0</v>
      </c>
      <c r="F36" s="5">
        <v>46396.0</v>
      </c>
      <c r="G36" s="1">
        <v>4.0</v>
      </c>
      <c r="H36" s="1" t="s">
        <v>35</v>
      </c>
      <c r="I36" s="1" t="s">
        <v>42</v>
      </c>
    </row>
    <row r="37">
      <c r="A37" s="2" t="s">
        <v>185</v>
      </c>
      <c r="B37" s="2" t="s">
        <v>178</v>
      </c>
      <c r="C37" s="1" t="s">
        <v>186</v>
      </c>
      <c r="D37" s="1" t="s">
        <v>187</v>
      </c>
      <c r="E37" s="5">
        <v>46419.0</v>
      </c>
      <c r="F37" s="5">
        <v>46424.0</v>
      </c>
      <c r="G37" s="1">
        <v>2.0</v>
      </c>
      <c r="H37" s="1" t="s">
        <v>48</v>
      </c>
      <c r="I37" s="1" t="s">
        <v>42</v>
      </c>
      <c r="J37" s="1" t="s">
        <v>189</v>
      </c>
    </row>
    <row r="38">
      <c r="A38" s="2" t="s">
        <v>190</v>
      </c>
      <c r="B38" s="2" t="s">
        <v>103</v>
      </c>
      <c r="C38" s="1" t="s">
        <v>191</v>
      </c>
      <c r="D38" s="1" t="s">
        <v>16</v>
      </c>
      <c r="E38" s="5">
        <v>46419.0</v>
      </c>
      <c r="F38" s="5">
        <v>46426.0</v>
      </c>
      <c r="G38" s="1">
        <v>4.0</v>
      </c>
      <c r="H38" s="1" t="s">
        <v>35</v>
      </c>
      <c r="I38" s="1" t="s">
        <v>42</v>
      </c>
    </row>
    <row r="39">
      <c r="A39" s="2" t="s">
        <v>192</v>
      </c>
      <c r="B39" s="2" t="s">
        <v>55</v>
      </c>
      <c r="C39" s="1" t="s">
        <v>193</v>
      </c>
      <c r="D39" s="1" t="s">
        <v>194</v>
      </c>
      <c r="E39" s="5">
        <v>46443.0</v>
      </c>
      <c r="F39" s="5">
        <v>46083.0</v>
      </c>
      <c r="G39" s="1">
        <v>1.0</v>
      </c>
      <c r="H39" s="1" t="s">
        <v>48</v>
      </c>
      <c r="I39" s="1" t="s">
        <v>42</v>
      </c>
      <c r="J39" s="1" t="s">
        <v>195</v>
      </c>
    </row>
    <row r="40">
      <c r="A40" s="2" t="s">
        <v>196</v>
      </c>
      <c r="B40" s="2" t="s">
        <v>197</v>
      </c>
      <c r="C40" s="1" t="s">
        <v>198</v>
      </c>
      <c r="D40" s="1" t="s">
        <v>199</v>
      </c>
      <c r="E40" s="5">
        <v>46386.0</v>
      </c>
      <c r="F40" s="5">
        <v>46391.0</v>
      </c>
      <c r="G40" s="1">
        <v>2.0</v>
      </c>
      <c r="H40" s="1" t="s">
        <v>48</v>
      </c>
      <c r="I40" s="24"/>
    </row>
    <row r="41">
      <c r="A41" s="2" t="s">
        <v>200</v>
      </c>
      <c r="B41" s="2" t="s">
        <v>117</v>
      </c>
      <c r="C41" s="1" t="s">
        <v>166</v>
      </c>
      <c r="D41" s="1" t="s">
        <v>201</v>
      </c>
      <c r="E41" s="5">
        <v>46417.0</v>
      </c>
      <c r="F41" s="5">
        <v>46422.0</v>
      </c>
      <c r="G41" s="1">
        <v>2.0</v>
      </c>
      <c r="H41" s="1" t="s">
        <v>48</v>
      </c>
      <c r="I41" s="1" t="s">
        <v>42</v>
      </c>
      <c r="J41" s="1" t="s">
        <v>202</v>
      </c>
    </row>
    <row r="42">
      <c r="A42" s="2" t="s">
        <v>203</v>
      </c>
      <c r="B42" s="2" t="s">
        <v>108</v>
      </c>
      <c r="C42" s="1" t="s">
        <v>204</v>
      </c>
      <c r="D42" s="1" t="s">
        <v>205</v>
      </c>
      <c r="E42" s="5">
        <v>46378.0</v>
      </c>
      <c r="F42" s="5">
        <v>46406.0</v>
      </c>
      <c r="G42" s="1">
        <v>2.0</v>
      </c>
      <c r="H42" s="1" t="s">
        <v>48</v>
      </c>
      <c r="I42" s="24"/>
      <c r="J42" s="1" t="s">
        <v>206</v>
      </c>
    </row>
    <row r="43">
      <c r="A43" s="2" t="s">
        <v>207</v>
      </c>
      <c r="B43" s="2" t="s">
        <v>122</v>
      </c>
      <c r="C43" s="1" t="s">
        <v>204</v>
      </c>
      <c r="D43" s="1" t="s">
        <v>205</v>
      </c>
      <c r="E43" s="5">
        <v>46391.0</v>
      </c>
      <c r="F43" s="5">
        <v>46393.0</v>
      </c>
      <c r="G43" s="1">
        <v>4.0</v>
      </c>
      <c r="H43" s="1" t="s">
        <v>48</v>
      </c>
      <c r="I43" s="24"/>
      <c r="J43" s="1" t="s">
        <v>206</v>
      </c>
    </row>
    <row r="44">
      <c r="A44" s="2" t="s">
        <v>208</v>
      </c>
      <c r="B44" s="2" t="s">
        <v>139</v>
      </c>
      <c r="C44" s="1" t="s">
        <v>204</v>
      </c>
      <c r="D44" s="1" t="s">
        <v>205</v>
      </c>
      <c r="E44" s="5">
        <v>46393.0</v>
      </c>
      <c r="F44" s="5">
        <v>46406.0</v>
      </c>
      <c r="G44" s="1">
        <v>4.0</v>
      </c>
      <c r="H44" s="1" t="s">
        <v>48</v>
      </c>
      <c r="I44" s="24"/>
      <c r="J44" s="1" t="s">
        <v>206</v>
      </c>
    </row>
    <row r="45">
      <c r="A45" s="2" t="s">
        <v>209</v>
      </c>
      <c r="B45" s="2" t="s">
        <v>178</v>
      </c>
      <c r="C45" s="1" t="s">
        <v>210</v>
      </c>
      <c r="D45" s="1" t="s">
        <v>211</v>
      </c>
      <c r="E45" s="5">
        <v>46392.0</v>
      </c>
      <c r="F45" s="5">
        <v>46400.0</v>
      </c>
      <c r="G45" s="1">
        <v>2.0</v>
      </c>
      <c r="H45" s="1" t="s">
        <v>48</v>
      </c>
      <c r="I45" s="1" t="s">
        <v>49</v>
      </c>
      <c r="J45" s="1" t="s">
        <v>128</v>
      </c>
    </row>
    <row r="46">
      <c r="A46" s="2" t="s">
        <v>213</v>
      </c>
      <c r="B46" s="2" t="s">
        <v>214</v>
      </c>
      <c r="C46" s="1" t="s">
        <v>210</v>
      </c>
      <c r="D46" s="1" t="s">
        <v>211</v>
      </c>
      <c r="E46" s="5">
        <v>46395.0</v>
      </c>
      <c r="F46" s="5">
        <v>46398.0</v>
      </c>
      <c r="G46" s="1">
        <v>2.0</v>
      </c>
      <c r="H46" s="1" t="s">
        <v>48</v>
      </c>
      <c r="I46" s="1" t="s">
        <v>49</v>
      </c>
    </row>
    <row r="47">
      <c r="A47" s="2" t="s">
        <v>215</v>
      </c>
      <c r="B47" s="2" t="s">
        <v>117</v>
      </c>
      <c r="C47" s="1" t="s">
        <v>210</v>
      </c>
      <c r="D47" s="1" t="s">
        <v>211</v>
      </c>
      <c r="E47" s="5">
        <v>46395.0</v>
      </c>
      <c r="F47" s="5">
        <v>46398.0</v>
      </c>
      <c r="G47" s="1">
        <v>2.0</v>
      </c>
      <c r="H47" s="1" t="s">
        <v>48</v>
      </c>
      <c r="I47" s="1" t="s">
        <v>49</v>
      </c>
    </row>
    <row r="48">
      <c r="A48" s="2" t="s">
        <v>216</v>
      </c>
      <c r="B48" s="2" t="s">
        <v>13</v>
      </c>
      <c r="C48" s="1" t="s">
        <v>217</v>
      </c>
      <c r="D48" s="1" t="s">
        <v>218</v>
      </c>
      <c r="E48" s="5">
        <v>46388.0</v>
      </c>
      <c r="F48" s="5">
        <v>46419.0</v>
      </c>
      <c r="G48" s="1">
        <v>5.0</v>
      </c>
      <c r="H48" s="1" t="s">
        <v>35</v>
      </c>
      <c r="I48" s="1" t="s">
        <v>42</v>
      </c>
    </row>
    <row r="49">
      <c r="A49" s="2" t="s">
        <v>219</v>
      </c>
      <c r="B49" s="2" t="s">
        <v>103</v>
      </c>
      <c r="C49" s="1" t="s">
        <v>220</v>
      </c>
      <c r="D49" s="1" t="s">
        <v>221</v>
      </c>
      <c r="E49" s="5">
        <v>46452.0</v>
      </c>
      <c r="F49" s="5">
        <v>46467.0</v>
      </c>
      <c r="G49" s="1">
        <v>2.0</v>
      </c>
      <c r="H49" s="1" t="s">
        <v>35</v>
      </c>
      <c r="I49" s="1" t="s">
        <v>42</v>
      </c>
    </row>
    <row r="50">
      <c r="A50" s="2" t="s">
        <v>223</v>
      </c>
      <c r="B50" s="2"/>
      <c r="E50" s="5"/>
      <c r="F50" s="5"/>
      <c r="H50" s="1"/>
      <c r="I50" s="24"/>
    </row>
    <row r="51">
      <c r="A51" s="2" t="s">
        <v>224</v>
      </c>
      <c r="B51" s="2" t="s">
        <v>225</v>
      </c>
      <c r="C51" s="1" t="s">
        <v>15</v>
      </c>
      <c r="D51" s="1" t="s">
        <v>16</v>
      </c>
      <c r="E51" s="5">
        <v>46419.0</v>
      </c>
      <c r="F51" s="5">
        <v>46426.0</v>
      </c>
      <c r="G51" s="1">
        <v>4.0</v>
      </c>
      <c r="H51" s="1" t="s">
        <v>35</v>
      </c>
      <c r="I51" s="24"/>
    </row>
    <row r="52">
      <c r="A52" s="2" t="s">
        <v>226</v>
      </c>
      <c r="B52" s="2" t="s">
        <v>228</v>
      </c>
      <c r="C52" s="1" t="s">
        <v>229</v>
      </c>
      <c r="D52" s="1" t="s">
        <v>230</v>
      </c>
      <c r="E52" s="5">
        <v>46385.0</v>
      </c>
      <c r="F52" s="5">
        <v>46401.0</v>
      </c>
      <c r="G52" s="1">
        <v>2.0</v>
      </c>
      <c r="H52" s="1" t="s">
        <v>48</v>
      </c>
      <c r="I52" s="24"/>
      <c r="J52" s="1" t="s">
        <v>50</v>
      </c>
    </row>
    <row r="53">
      <c r="A53" s="2" t="s">
        <v>231</v>
      </c>
      <c r="B53" s="2" t="s">
        <v>103</v>
      </c>
      <c r="C53" s="1" t="s">
        <v>232</v>
      </c>
      <c r="D53" s="1" t="s">
        <v>233</v>
      </c>
      <c r="E53" s="5">
        <v>46433.0</v>
      </c>
      <c r="F53" s="5">
        <v>46440.0</v>
      </c>
      <c r="G53" s="1">
        <v>4.0</v>
      </c>
      <c r="H53" s="1" t="s">
        <v>48</v>
      </c>
      <c r="I53" s="1" t="s">
        <v>42</v>
      </c>
      <c r="J53" s="1"/>
    </row>
    <row r="54">
      <c r="A54" s="2" t="s">
        <v>234</v>
      </c>
      <c r="B54" s="2" t="s">
        <v>99</v>
      </c>
      <c r="C54" s="1" t="s">
        <v>113</v>
      </c>
      <c r="D54" s="1" t="s">
        <v>114</v>
      </c>
      <c r="E54" s="5">
        <v>46430.0</v>
      </c>
      <c r="F54" s="5">
        <v>46447.0</v>
      </c>
      <c r="G54" s="1">
        <v>1.0</v>
      </c>
      <c r="H54" s="1" t="s">
        <v>48</v>
      </c>
      <c r="I54" s="1" t="s">
        <v>42</v>
      </c>
      <c r="J54" s="1" t="s">
        <v>115</v>
      </c>
    </row>
    <row r="55">
      <c r="A55" s="2" t="s">
        <v>235</v>
      </c>
      <c r="B55" s="40">
        <v>29.0</v>
      </c>
      <c r="C55" s="1" t="s">
        <v>232</v>
      </c>
      <c r="D55" s="1" t="s">
        <v>233</v>
      </c>
      <c r="E55" s="5">
        <v>46433.0</v>
      </c>
      <c r="F55" s="5">
        <v>46440.0</v>
      </c>
      <c r="G55" s="1">
        <v>2.0</v>
      </c>
      <c r="H55" s="1" t="s">
        <v>48</v>
      </c>
      <c r="I55" s="1" t="s">
        <v>42</v>
      </c>
      <c r="J55" s="1" t="s">
        <v>50</v>
      </c>
    </row>
    <row r="56">
      <c r="A56" s="2" t="s">
        <v>236</v>
      </c>
      <c r="B56" s="2" t="s">
        <v>225</v>
      </c>
      <c r="C56" s="1" t="s">
        <v>237</v>
      </c>
      <c r="D56" s="1" t="s">
        <v>238</v>
      </c>
      <c r="E56" s="5">
        <v>46388.0</v>
      </c>
      <c r="F56" s="5">
        <v>46419.0</v>
      </c>
      <c r="G56" s="1">
        <v>2.0</v>
      </c>
      <c r="H56" s="1" t="s">
        <v>35</v>
      </c>
      <c r="I56" s="24"/>
      <c r="J56" s="1" t="s">
        <v>239</v>
      </c>
    </row>
    <row r="57">
      <c r="A57" s="2" t="s">
        <v>240</v>
      </c>
      <c r="B57" s="2" t="s">
        <v>241</v>
      </c>
      <c r="C57" s="1" t="s">
        <v>242</v>
      </c>
      <c r="D57" s="1" t="s">
        <v>243</v>
      </c>
      <c r="E57" s="5">
        <v>46391.0</v>
      </c>
      <c r="F57" s="5">
        <v>46406.0</v>
      </c>
      <c r="G57" s="1">
        <v>1.0</v>
      </c>
      <c r="H57" s="1" t="s">
        <v>48</v>
      </c>
      <c r="I57" s="24"/>
      <c r="J57" s="1" t="s">
        <v>128</v>
      </c>
    </row>
    <row r="58">
      <c r="A58" s="2" t="s">
        <v>244</v>
      </c>
      <c r="B58" s="2" t="s">
        <v>245</v>
      </c>
      <c r="C58" s="1" t="s">
        <v>246</v>
      </c>
      <c r="D58" s="1" t="s">
        <v>248</v>
      </c>
      <c r="E58" s="5">
        <v>46433.0</v>
      </c>
      <c r="F58" s="5">
        <v>46445.0</v>
      </c>
      <c r="G58" s="1">
        <v>2.0</v>
      </c>
      <c r="H58" s="1" t="s">
        <v>48</v>
      </c>
      <c r="I58" s="1" t="s">
        <v>42</v>
      </c>
      <c r="J58" s="1" t="s">
        <v>128</v>
      </c>
    </row>
    <row r="59">
      <c r="A59" s="2" t="s">
        <v>250</v>
      </c>
      <c r="B59" s="2" t="s">
        <v>86</v>
      </c>
      <c r="C59" s="1" t="s">
        <v>210</v>
      </c>
      <c r="D59" s="1" t="s">
        <v>252</v>
      </c>
      <c r="E59" s="5">
        <v>46380.0</v>
      </c>
      <c r="F59" s="5">
        <v>46389.0</v>
      </c>
      <c r="G59" s="1">
        <v>2.0</v>
      </c>
      <c r="H59" s="1" t="s">
        <v>48</v>
      </c>
      <c r="I59" s="1" t="s">
        <v>42</v>
      </c>
    </row>
    <row r="60">
      <c r="A60" s="2" t="s">
        <v>253</v>
      </c>
      <c r="B60" s="2" t="s">
        <v>45</v>
      </c>
      <c r="C60" s="1" t="s">
        <v>210</v>
      </c>
      <c r="D60" s="1" t="s">
        <v>252</v>
      </c>
      <c r="E60" s="5">
        <v>46382.0</v>
      </c>
      <c r="F60" s="5">
        <v>46389.0</v>
      </c>
      <c r="G60" s="1">
        <v>2.0</v>
      </c>
      <c r="H60" s="1" t="s">
        <v>48</v>
      </c>
      <c r="I60" s="1" t="s">
        <v>42</v>
      </c>
      <c r="J60" s="1" t="s">
        <v>50</v>
      </c>
    </row>
    <row r="61">
      <c r="A61" s="2" t="s">
        <v>254</v>
      </c>
      <c r="B61" s="2" t="s">
        <v>241</v>
      </c>
      <c r="C61" s="1" t="s">
        <v>15</v>
      </c>
      <c r="D61" s="1" t="s">
        <v>255</v>
      </c>
      <c r="E61" s="5">
        <v>46373.0</v>
      </c>
      <c r="F61" s="5">
        <v>46376.0</v>
      </c>
      <c r="G61" s="1">
        <v>1.0</v>
      </c>
      <c r="H61" s="1" t="s">
        <v>58</v>
      </c>
      <c r="I61" s="1" t="s">
        <v>42</v>
      </c>
    </row>
    <row r="62">
      <c r="A62" s="2" t="s">
        <v>256</v>
      </c>
      <c r="B62" s="2" t="s">
        <v>119</v>
      </c>
      <c r="C62" s="1" t="s">
        <v>210</v>
      </c>
      <c r="D62" s="1" t="s">
        <v>211</v>
      </c>
      <c r="E62" s="5">
        <v>46395.0</v>
      </c>
      <c r="F62" s="5">
        <v>46400.0</v>
      </c>
      <c r="G62" s="1">
        <v>3.0</v>
      </c>
      <c r="H62" s="1" t="s">
        <v>48</v>
      </c>
      <c r="I62" s="1" t="s">
        <v>49</v>
      </c>
    </row>
    <row r="63">
      <c r="A63" s="2" t="s">
        <v>257</v>
      </c>
      <c r="B63" s="2" t="s">
        <v>103</v>
      </c>
      <c r="C63" s="1" t="s">
        <v>258</v>
      </c>
      <c r="D63" s="1" t="s">
        <v>259</v>
      </c>
      <c r="E63" s="5">
        <v>46426.0</v>
      </c>
      <c r="F63" s="5">
        <v>46433.0</v>
      </c>
      <c r="G63" s="1">
        <v>4.0</v>
      </c>
      <c r="H63" s="1" t="s">
        <v>35</v>
      </c>
      <c r="I63" s="1" t="s">
        <v>42</v>
      </c>
    </row>
    <row r="64">
      <c r="A64" s="2" t="s">
        <v>260</v>
      </c>
      <c r="B64" s="2" t="s">
        <v>144</v>
      </c>
      <c r="C64" s="1" t="s">
        <v>261</v>
      </c>
      <c r="D64" s="1" t="s">
        <v>262</v>
      </c>
      <c r="E64" s="5">
        <v>46391.0</v>
      </c>
      <c r="F64" s="5">
        <v>46397.0</v>
      </c>
      <c r="G64" s="1">
        <v>1.0</v>
      </c>
      <c r="H64" s="1" t="s">
        <v>48</v>
      </c>
      <c r="I64" s="24"/>
    </row>
    <row r="65">
      <c r="A65" s="2" t="s">
        <v>264</v>
      </c>
      <c r="B65" s="2" t="s">
        <v>144</v>
      </c>
      <c r="C65" s="1" t="s">
        <v>261</v>
      </c>
      <c r="D65" s="1" t="s">
        <v>262</v>
      </c>
      <c r="E65" s="5">
        <v>46397.0</v>
      </c>
      <c r="F65" s="5">
        <v>46401.0</v>
      </c>
      <c r="G65" s="1">
        <v>2.0</v>
      </c>
      <c r="H65" s="1" t="s">
        <v>48</v>
      </c>
      <c r="I65" s="24"/>
    </row>
    <row r="66">
      <c r="A66" s="2" t="s">
        <v>266</v>
      </c>
      <c r="B66" s="2" t="s">
        <v>45</v>
      </c>
      <c r="C66" s="1" t="s">
        <v>261</v>
      </c>
      <c r="D66" s="1" t="s">
        <v>262</v>
      </c>
      <c r="E66" s="5">
        <v>46401.0</v>
      </c>
      <c r="F66" s="5">
        <v>46406.0</v>
      </c>
      <c r="G66" s="1">
        <v>2.0</v>
      </c>
      <c r="H66" s="1" t="s">
        <v>48</v>
      </c>
      <c r="I66" s="24"/>
    </row>
    <row r="67">
      <c r="A67" s="2" t="s">
        <v>267</v>
      </c>
      <c r="B67" s="2" t="s">
        <v>144</v>
      </c>
      <c r="C67" s="1" t="s">
        <v>268</v>
      </c>
      <c r="D67" s="1" t="s">
        <v>269</v>
      </c>
      <c r="E67" s="5">
        <v>46386.0</v>
      </c>
      <c r="F67" s="5">
        <v>46391.0</v>
      </c>
      <c r="G67" s="1">
        <v>2.0</v>
      </c>
      <c r="H67" s="1" t="s">
        <v>48</v>
      </c>
      <c r="I67" s="1" t="s">
        <v>42</v>
      </c>
      <c r="J67" s="1" t="s">
        <v>270</v>
      </c>
    </row>
    <row r="68">
      <c r="A68" s="2" t="s">
        <v>271</v>
      </c>
      <c r="B68" s="2" t="s">
        <v>55</v>
      </c>
      <c r="C68" s="1" t="s">
        <v>272</v>
      </c>
      <c r="D68" s="1" t="s">
        <v>273</v>
      </c>
      <c r="E68" s="5">
        <v>46404.0</v>
      </c>
      <c r="F68" s="5">
        <v>46409.0</v>
      </c>
      <c r="G68" s="1">
        <v>1.0</v>
      </c>
      <c r="H68" s="1" t="s">
        <v>48</v>
      </c>
      <c r="I68" s="24"/>
    </row>
    <row r="69">
      <c r="A69" s="2" t="s">
        <v>274</v>
      </c>
      <c r="B69" s="2" t="s">
        <v>94</v>
      </c>
      <c r="C69" s="1" t="s">
        <v>275</v>
      </c>
      <c r="D69" s="1" t="s">
        <v>276</v>
      </c>
      <c r="E69" s="5">
        <v>46419.0</v>
      </c>
      <c r="F69" s="5">
        <v>46426.0</v>
      </c>
      <c r="G69" s="1">
        <v>4.0</v>
      </c>
      <c r="H69" s="1" t="s">
        <v>48</v>
      </c>
      <c r="I69" s="24"/>
      <c r="J69" s="1" t="s">
        <v>277</v>
      </c>
    </row>
    <row r="70">
      <c r="A70" s="2" t="s">
        <v>278</v>
      </c>
      <c r="B70" s="2" t="s">
        <v>119</v>
      </c>
      <c r="C70" s="1" t="s">
        <v>279</v>
      </c>
      <c r="D70" s="1" t="s">
        <v>280</v>
      </c>
      <c r="E70" s="5">
        <v>46419.0</v>
      </c>
      <c r="F70" s="5">
        <v>46426.0</v>
      </c>
      <c r="G70" s="1">
        <v>3.0</v>
      </c>
      <c r="H70" s="1" t="s">
        <v>48</v>
      </c>
      <c r="I70" s="24"/>
      <c r="J70" s="1" t="s">
        <v>282</v>
      </c>
    </row>
    <row r="71">
      <c r="A71" s="2" t="s">
        <v>283</v>
      </c>
      <c r="B71" s="2" t="s">
        <v>122</v>
      </c>
      <c r="C71" s="1" t="s">
        <v>284</v>
      </c>
      <c r="D71" s="1" t="s">
        <v>285</v>
      </c>
      <c r="E71" s="5">
        <v>46419.0</v>
      </c>
      <c r="F71" s="5">
        <v>46426.0</v>
      </c>
      <c r="G71" s="1">
        <v>4.0</v>
      </c>
      <c r="H71" s="1" t="s">
        <v>48</v>
      </c>
      <c r="I71" s="1" t="s">
        <v>42</v>
      </c>
    </row>
    <row r="72">
      <c r="A72" s="2" t="s">
        <v>286</v>
      </c>
      <c r="B72" s="2"/>
      <c r="E72" s="5"/>
      <c r="F72" s="5"/>
      <c r="H72" s="24"/>
      <c r="I72" s="24"/>
    </row>
    <row r="73">
      <c r="A73" s="2" t="s">
        <v>287</v>
      </c>
      <c r="B73" s="2"/>
      <c r="E73" s="5"/>
      <c r="F73" s="5"/>
      <c r="H73" s="24"/>
      <c r="I73" s="24"/>
    </row>
    <row r="74">
      <c r="A74" s="2" t="s">
        <v>288</v>
      </c>
      <c r="B74" s="2"/>
      <c r="E74" s="5"/>
      <c r="F74" s="5"/>
      <c r="H74" s="24"/>
      <c r="I74" s="24"/>
    </row>
    <row r="75">
      <c r="A75" s="2" t="s">
        <v>289</v>
      </c>
      <c r="B75" s="2"/>
      <c r="E75" s="5"/>
      <c r="F75" s="5"/>
      <c r="H75" s="24"/>
      <c r="I75" s="24"/>
    </row>
    <row r="76">
      <c r="A76" s="2" t="s">
        <v>290</v>
      </c>
      <c r="B76" s="2"/>
      <c r="E76" s="5"/>
      <c r="F76" s="5"/>
      <c r="H76" s="24"/>
      <c r="I76" s="24"/>
    </row>
    <row r="77">
      <c r="A77" s="2" t="s">
        <v>291</v>
      </c>
      <c r="B77" s="2"/>
      <c r="E77" s="5"/>
      <c r="F77" s="5"/>
      <c r="H77" s="24"/>
      <c r="I77" s="24"/>
    </row>
    <row r="78">
      <c r="A78" s="2" t="s">
        <v>292</v>
      </c>
      <c r="B78" s="2"/>
      <c r="E78" s="5"/>
      <c r="F78" s="5"/>
      <c r="H78" s="24"/>
      <c r="I78" s="24"/>
    </row>
    <row r="79">
      <c r="A79" s="2" t="s">
        <v>294</v>
      </c>
      <c r="B79" s="2"/>
      <c r="E79" s="5"/>
      <c r="F79" s="5"/>
      <c r="H79" s="24"/>
      <c r="I79" s="24"/>
    </row>
    <row r="80">
      <c r="A80" s="2" t="s">
        <v>295</v>
      </c>
      <c r="B80" s="2"/>
      <c r="E80" s="5"/>
      <c r="F80" s="5"/>
      <c r="H80" s="24"/>
      <c r="I80" s="24"/>
    </row>
    <row r="81">
      <c r="A81" s="2" t="s">
        <v>296</v>
      </c>
      <c r="B81" s="2"/>
      <c r="E81" s="5"/>
      <c r="F81" s="5"/>
      <c r="H81" s="24"/>
      <c r="I81" s="24"/>
    </row>
    <row r="82">
      <c r="A82" s="2" t="s">
        <v>297</v>
      </c>
      <c r="B82" s="2"/>
      <c r="E82" s="5"/>
      <c r="F82" s="5"/>
      <c r="H82" s="24"/>
      <c r="I82" s="24"/>
    </row>
    <row r="83">
      <c r="A83" s="2" t="s">
        <v>298</v>
      </c>
      <c r="B83" s="2"/>
      <c r="E83" s="5"/>
      <c r="F83" s="5"/>
      <c r="H83" s="24"/>
      <c r="I83" s="24"/>
    </row>
    <row r="84">
      <c r="A84" s="2" t="s">
        <v>299</v>
      </c>
      <c r="B84" s="2"/>
      <c r="E84" s="5"/>
      <c r="F84" s="5"/>
      <c r="H84" s="24"/>
      <c r="I84" s="24"/>
    </row>
    <row r="85">
      <c r="A85" s="2" t="s">
        <v>300</v>
      </c>
      <c r="B85" s="2"/>
      <c r="E85" s="5"/>
      <c r="F85" s="23"/>
      <c r="H85" s="24"/>
      <c r="I85" s="24"/>
    </row>
    <row r="86">
      <c r="A86" s="2" t="s">
        <v>301</v>
      </c>
      <c r="B86" s="2"/>
      <c r="E86" s="5"/>
      <c r="F86" s="5"/>
      <c r="H86" s="24"/>
      <c r="I86" s="24"/>
    </row>
    <row r="87">
      <c r="A87" s="2" t="s">
        <v>302</v>
      </c>
      <c r="B87" s="2"/>
      <c r="E87" s="5"/>
      <c r="F87" s="5"/>
      <c r="H87" s="24"/>
      <c r="I87" s="24"/>
    </row>
    <row r="88">
      <c r="A88" s="2" t="s">
        <v>303</v>
      </c>
      <c r="B88" s="2"/>
      <c r="E88" s="5"/>
      <c r="F88" s="5"/>
      <c r="H88" s="24"/>
      <c r="I88" s="24"/>
    </row>
    <row r="89">
      <c r="A89" s="2" t="s">
        <v>304</v>
      </c>
      <c r="B89" s="2"/>
      <c r="E89" s="5"/>
      <c r="F89" s="5"/>
      <c r="H89" s="24"/>
      <c r="I89" s="24"/>
    </row>
    <row r="90">
      <c r="A90" s="2" t="s">
        <v>305</v>
      </c>
      <c r="B90" s="2"/>
      <c r="E90" s="5"/>
      <c r="F90" s="5"/>
      <c r="H90" s="24"/>
      <c r="I90" s="24"/>
    </row>
    <row r="91">
      <c r="A91" s="2" t="s">
        <v>306</v>
      </c>
      <c r="B91" s="2"/>
      <c r="E91" s="23"/>
      <c r="F91" s="5"/>
      <c r="H91" s="24"/>
      <c r="I91" s="24"/>
    </row>
    <row r="92">
      <c r="A92" s="2" t="s">
        <v>308</v>
      </c>
      <c r="B92" s="2"/>
      <c r="E92" s="5"/>
      <c r="F92" s="5"/>
      <c r="H92" s="24"/>
      <c r="I92" s="24"/>
    </row>
    <row r="93">
      <c r="A93" s="2" t="s">
        <v>309</v>
      </c>
      <c r="B93" s="2"/>
      <c r="E93" s="5"/>
      <c r="F93" s="5"/>
      <c r="H93" s="24"/>
      <c r="I93" s="24"/>
    </row>
    <row r="94">
      <c r="A94" s="2" t="s">
        <v>311</v>
      </c>
      <c r="B94" s="2"/>
      <c r="E94" s="5"/>
      <c r="F94" s="5"/>
      <c r="H94" s="24"/>
      <c r="I94" s="24"/>
    </row>
    <row r="95">
      <c r="A95" s="2" t="s">
        <v>312</v>
      </c>
      <c r="B95" s="2"/>
      <c r="E95" s="5"/>
      <c r="F95" s="5"/>
      <c r="H95" s="24"/>
      <c r="I95" s="24"/>
    </row>
    <row r="96">
      <c r="A96" s="2" t="s">
        <v>313</v>
      </c>
      <c r="B96" s="2"/>
      <c r="E96" s="5"/>
      <c r="F96" s="5"/>
      <c r="H96" s="24"/>
      <c r="I96" s="24"/>
    </row>
    <row r="97">
      <c r="A97" s="2" t="s">
        <v>315</v>
      </c>
      <c r="B97" s="2"/>
      <c r="E97" s="5"/>
      <c r="F97" s="5"/>
      <c r="H97" s="24"/>
      <c r="I97" s="24"/>
    </row>
    <row r="98">
      <c r="A98" s="2" t="s">
        <v>316</v>
      </c>
      <c r="B98" s="2"/>
      <c r="E98" s="5"/>
      <c r="F98" s="5"/>
      <c r="H98" s="24"/>
      <c r="I98" s="24"/>
    </row>
    <row r="99">
      <c r="A99" s="2" t="s">
        <v>317</v>
      </c>
      <c r="B99" s="2"/>
      <c r="E99" s="5"/>
      <c r="F99" s="5"/>
      <c r="H99" s="24"/>
      <c r="I99" s="24"/>
    </row>
    <row r="100">
      <c r="A100" s="2" t="s">
        <v>318</v>
      </c>
      <c r="B100" s="2"/>
      <c r="E100" s="5"/>
      <c r="F100" s="5"/>
      <c r="H100" s="24"/>
      <c r="I100" s="24"/>
    </row>
    <row r="101">
      <c r="A101" s="2"/>
      <c r="B101" s="2"/>
      <c r="E101" s="5"/>
      <c r="F101" s="5"/>
      <c r="H101" s="24"/>
    </row>
    <row r="102">
      <c r="A102" s="2"/>
      <c r="B102" s="2"/>
      <c r="E102" s="5"/>
      <c r="F102" s="5"/>
      <c r="H102" s="24"/>
    </row>
    <row r="103">
      <c r="A103" s="2"/>
      <c r="B103" s="2"/>
      <c r="E103" s="5"/>
      <c r="F103" s="5"/>
      <c r="H103" s="24"/>
    </row>
    <row r="104">
      <c r="A104" s="2"/>
      <c r="B104" s="2"/>
      <c r="E104" s="5"/>
      <c r="F104" s="5"/>
      <c r="H104" s="24"/>
    </row>
    <row r="105">
      <c r="A105" s="2"/>
      <c r="B105" s="2"/>
      <c r="E105" s="5"/>
      <c r="F105" s="5"/>
      <c r="H105" s="24"/>
    </row>
    <row r="106">
      <c r="A106" s="2"/>
      <c r="B106" s="2"/>
      <c r="E106" s="5"/>
      <c r="F106" s="5"/>
      <c r="H106" s="24"/>
    </row>
    <row r="107">
      <c r="A107" s="2"/>
      <c r="B107" s="2"/>
      <c r="E107" s="5"/>
      <c r="F107" s="5"/>
      <c r="H107" s="24"/>
    </row>
    <row r="108">
      <c r="A108" s="2"/>
      <c r="B108" s="2"/>
      <c r="E108" s="5"/>
      <c r="F108" s="5"/>
      <c r="H108" s="24"/>
    </row>
    <row r="109">
      <c r="A109" s="2"/>
      <c r="B109" s="2"/>
      <c r="E109" s="5"/>
      <c r="F109" s="5"/>
      <c r="H109" s="24"/>
    </row>
    <row r="110">
      <c r="A110" s="2"/>
      <c r="B110" s="2"/>
      <c r="E110" s="5"/>
      <c r="F110" s="5"/>
      <c r="H110" s="24"/>
    </row>
    <row r="111">
      <c r="A111" s="2"/>
      <c r="B111" s="2"/>
      <c r="E111" s="5"/>
      <c r="F111" s="5"/>
      <c r="H111" s="24"/>
    </row>
    <row r="112">
      <c r="A112" s="2"/>
      <c r="B112" s="2"/>
      <c r="E112" s="5"/>
      <c r="F112" s="5"/>
      <c r="H112" s="24"/>
    </row>
    <row r="113">
      <c r="A113" s="2"/>
      <c r="B113" s="2"/>
      <c r="E113" s="5"/>
      <c r="F113" s="5"/>
      <c r="H113" s="24"/>
    </row>
    <row r="114">
      <c r="A114" s="2"/>
      <c r="B114" s="2"/>
      <c r="E114" s="5"/>
      <c r="F114" s="5"/>
      <c r="H114" s="24"/>
    </row>
    <row r="115">
      <c r="A115" s="2"/>
      <c r="B115" s="2"/>
      <c r="E115" s="5"/>
      <c r="F115" s="5"/>
      <c r="H115" s="24"/>
    </row>
    <row r="116">
      <c r="A116" s="2"/>
      <c r="B116" s="2"/>
      <c r="E116" s="5"/>
      <c r="F116" s="5"/>
      <c r="H116" s="24"/>
    </row>
    <row r="117">
      <c r="A117" s="2"/>
      <c r="B117" s="2"/>
      <c r="E117" s="5"/>
      <c r="F117" s="5"/>
      <c r="H117" s="24"/>
    </row>
    <row r="118">
      <c r="A118" s="2"/>
      <c r="B118" s="2"/>
      <c r="E118" s="5"/>
      <c r="F118" s="5"/>
      <c r="H118" s="24"/>
    </row>
    <row r="119">
      <c r="A119" s="2"/>
      <c r="B119" s="2"/>
      <c r="E119" s="5"/>
      <c r="F119" s="5"/>
      <c r="H119" s="24"/>
    </row>
    <row r="120">
      <c r="A120" s="2"/>
      <c r="B120" s="2"/>
      <c r="E120" s="5"/>
      <c r="F120" s="5"/>
      <c r="H120" s="24"/>
    </row>
    <row r="121">
      <c r="A121" s="2"/>
      <c r="B121" s="2"/>
      <c r="E121" s="5"/>
      <c r="F121" s="5"/>
      <c r="H121" s="24"/>
    </row>
    <row r="122">
      <c r="A122" s="2"/>
      <c r="B122" s="2"/>
      <c r="E122" s="5"/>
      <c r="F122" s="5"/>
      <c r="H122" s="24"/>
    </row>
    <row r="123">
      <c r="A123" s="2"/>
      <c r="B123" s="2"/>
      <c r="E123" s="5"/>
      <c r="F123" s="5"/>
      <c r="H123" s="24"/>
    </row>
    <row r="124">
      <c r="A124" s="2"/>
      <c r="B124" s="2"/>
      <c r="E124" s="5"/>
      <c r="F124" s="5"/>
      <c r="H124" s="24"/>
    </row>
    <row r="125">
      <c r="A125" s="2"/>
      <c r="B125" s="2"/>
      <c r="C125" s="61"/>
      <c r="E125" s="5"/>
      <c r="F125" s="5"/>
      <c r="H125" s="24"/>
    </row>
    <row r="126">
      <c r="A126" s="2"/>
      <c r="B126" s="2"/>
      <c r="E126" s="5"/>
      <c r="F126" s="5"/>
      <c r="H126" s="24"/>
    </row>
    <row r="127">
      <c r="A127" s="2"/>
      <c r="B127" s="2"/>
      <c r="E127" s="5"/>
      <c r="F127" s="5"/>
      <c r="H127" s="24"/>
    </row>
    <row r="128">
      <c r="A128" s="2"/>
      <c r="B128" s="2"/>
      <c r="D128" s="61"/>
      <c r="E128" s="5"/>
      <c r="F128" s="5"/>
      <c r="H128" s="24"/>
    </row>
    <row r="129">
      <c r="A129" s="2"/>
      <c r="B129" s="2"/>
      <c r="D129" s="61"/>
      <c r="E129" s="5"/>
      <c r="F129" s="5"/>
      <c r="H129" s="24"/>
    </row>
    <row r="130">
      <c r="A130" s="2"/>
      <c r="B130" s="2"/>
      <c r="E130" s="5"/>
      <c r="F130" s="5"/>
      <c r="H130" s="24"/>
    </row>
    <row r="131">
      <c r="A131" s="2"/>
      <c r="B131" s="2"/>
      <c r="E131" s="5"/>
      <c r="F131" s="5"/>
      <c r="H131" s="24"/>
    </row>
    <row r="132">
      <c r="A132" s="2"/>
      <c r="B132" s="2"/>
      <c r="E132" s="5"/>
      <c r="F132" s="5"/>
      <c r="H132" s="24"/>
    </row>
    <row r="133">
      <c r="A133" s="2"/>
      <c r="B133" s="2"/>
      <c r="D133" s="61"/>
      <c r="E133" s="5"/>
      <c r="F133" s="5"/>
      <c r="H133" s="24"/>
    </row>
    <row r="134">
      <c r="A134" s="2"/>
      <c r="B134" s="2"/>
      <c r="E134" s="5"/>
      <c r="F134" s="5"/>
      <c r="H134" s="24"/>
    </row>
    <row r="135">
      <c r="A135" s="2"/>
      <c r="B135" s="2"/>
      <c r="E135" s="5"/>
      <c r="F135" s="5"/>
      <c r="H135" s="24"/>
    </row>
    <row r="136">
      <c r="A136" s="2"/>
      <c r="B136" s="2"/>
      <c r="E136" s="5"/>
      <c r="F136" s="5"/>
      <c r="H136" s="24"/>
    </row>
    <row r="137">
      <c r="A137" s="2"/>
      <c r="B137" s="2"/>
      <c r="C137" s="61"/>
      <c r="E137" s="63"/>
      <c r="F137" s="5"/>
      <c r="H137" s="24"/>
    </row>
    <row r="138">
      <c r="A138" s="2"/>
      <c r="B138" s="2"/>
      <c r="E138" s="5"/>
      <c r="F138" s="5"/>
      <c r="H138" s="24"/>
    </row>
    <row r="139">
      <c r="A139" s="2"/>
      <c r="B139" s="2"/>
      <c r="E139" s="5"/>
      <c r="F139" s="5"/>
      <c r="H139" s="24"/>
    </row>
    <row r="140">
      <c r="A140" s="2"/>
      <c r="B140" s="2"/>
      <c r="E140" s="5"/>
      <c r="F140" s="5"/>
      <c r="H140" s="24"/>
    </row>
    <row r="141">
      <c r="A141" s="2"/>
      <c r="B141" s="2"/>
      <c r="E141" s="5"/>
      <c r="F141" s="5"/>
      <c r="H141" s="24"/>
    </row>
    <row r="142">
      <c r="A142" s="2"/>
      <c r="B142" s="2"/>
      <c r="E142" s="5"/>
      <c r="F142" s="5"/>
      <c r="H142" s="24"/>
    </row>
    <row r="143">
      <c r="A143" s="2"/>
      <c r="B143" s="2"/>
      <c r="E143" s="5"/>
      <c r="F143" s="5"/>
      <c r="H143" s="24"/>
    </row>
    <row r="144">
      <c r="A144" s="2"/>
      <c r="B144" s="2"/>
      <c r="E144" s="5"/>
      <c r="F144" s="5"/>
      <c r="H144" s="24"/>
    </row>
    <row r="145">
      <c r="A145" s="2"/>
      <c r="B145" s="2"/>
      <c r="E145" s="5"/>
      <c r="F145" s="5"/>
      <c r="H145" s="24"/>
    </row>
    <row r="146">
      <c r="A146" s="2"/>
      <c r="B146" s="2"/>
      <c r="E146" s="5"/>
      <c r="F146" s="5"/>
      <c r="H146" s="24"/>
    </row>
    <row r="147">
      <c r="A147" s="2"/>
      <c r="B147" s="2"/>
      <c r="E147" s="5"/>
      <c r="F147" s="5"/>
      <c r="H147" s="24"/>
    </row>
    <row r="148">
      <c r="A148" s="2"/>
      <c r="B148" s="2"/>
      <c r="E148" s="5"/>
      <c r="F148" s="5"/>
      <c r="H148" s="24"/>
    </row>
    <row r="149">
      <c r="A149" s="2"/>
      <c r="B149" s="2"/>
      <c r="E149" s="5"/>
      <c r="F149" s="5"/>
      <c r="H149" s="24"/>
    </row>
    <row r="150">
      <c r="A150" s="2"/>
      <c r="B150" s="2"/>
      <c r="E150" s="5"/>
      <c r="F150" s="5"/>
      <c r="H150" s="24"/>
    </row>
    <row r="151">
      <c r="A151" s="2"/>
      <c r="B151" s="2"/>
      <c r="E151" s="5"/>
      <c r="F151" s="5"/>
      <c r="H151" s="24"/>
    </row>
    <row r="152">
      <c r="A152" s="2"/>
      <c r="B152" s="2"/>
      <c r="E152" s="5"/>
      <c r="F152" s="5"/>
      <c r="H152" s="24"/>
    </row>
    <row r="153">
      <c r="A153" s="2"/>
      <c r="B153" s="2"/>
      <c r="E153" s="5"/>
      <c r="F153" s="5"/>
      <c r="H153" s="24"/>
    </row>
    <row r="154">
      <c r="A154" s="2"/>
      <c r="B154" s="2"/>
      <c r="E154" s="5"/>
      <c r="F154" s="5"/>
      <c r="H154" s="24"/>
    </row>
    <row r="155">
      <c r="A155" s="2"/>
      <c r="B155" s="2"/>
      <c r="E155" s="5"/>
      <c r="F155" s="5"/>
      <c r="H155" s="24"/>
    </row>
    <row r="156">
      <c r="A156" s="2"/>
      <c r="B156" s="2"/>
      <c r="E156" s="5"/>
      <c r="F156" s="5"/>
      <c r="H156" s="24"/>
    </row>
    <row r="157">
      <c r="A157" s="2"/>
      <c r="B157" s="2"/>
      <c r="E157" s="5"/>
      <c r="F157" s="5"/>
      <c r="H157" s="24"/>
    </row>
    <row r="158">
      <c r="A158" s="2"/>
      <c r="B158" s="2"/>
      <c r="E158" s="5"/>
      <c r="F158" s="5"/>
      <c r="H158" s="24"/>
    </row>
    <row r="159">
      <c r="A159" s="2"/>
      <c r="B159" s="2"/>
      <c r="E159" s="5"/>
      <c r="F159" s="5"/>
      <c r="H159" s="24"/>
    </row>
    <row r="160">
      <c r="A160" s="2"/>
      <c r="B160" s="2"/>
      <c r="E160" s="5"/>
      <c r="F160" s="5"/>
      <c r="H160" s="24"/>
    </row>
    <row r="161">
      <c r="A161" s="2"/>
      <c r="B161" s="2"/>
      <c r="E161" s="5"/>
      <c r="F161" s="5"/>
      <c r="H161" s="24"/>
    </row>
    <row r="162">
      <c r="A162" s="2"/>
      <c r="B162" s="2"/>
      <c r="E162" s="5"/>
      <c r="F162" s="5"/>
      <c r="H162" s="24"/>
    </row>
    <row r="163">
      <c r="A163" s="2"/>
      <c r="B163" s="2"/>
      <c r="E163" s="5"/>
      <c r="F163" s="5"/>
      <c r="H163" s="24"/>
    </row>
    <row r="164">
      <c r="A164" s="2"/>
      <c r="B164" s="2"/>
      <c r="E164" s="5"/>
      <c r="F164" s="5"/>
      <c r="H164" s="24"/>
    </row>
    <row r="165">
      <c r="A165" s="2"/>
      <c r="B165" s="2"/>
      <c r="E165" s="5"/>
      <c r="F165" s="5"/>
      <c r="H165" s="24"/>
    </row>
    <row r="166">
      <c r="A166" s="2"/>
      <c r="B166" s="2"/>
      <c r="E166" s="5"/>
      <c r="F166" s="5"/>
      <c r="H166" s="24"/>
    </row>
    <row r="167">
      <c r="A167" s="2"/>
      <c r="B167" s="2"/>
      <c r="E167" s="5"/>
      <c r="F167" s="5"/>
      <c r="H167" s="24"/>
    </row>
    <row r="168">
      <c r="A168" s="2"/>
      <c r="B168" s="2"/>
      <c r="E168" s="5"/>
      <c r="F168" s="5"/>
      <c r="H168" s="24"/>
    </row>
    <row r="169">
      <c r="A169" s="2"/>
      <c r="B169" s="2"/>
      <c r="E169" s="5"/>
      <c r="F169" s="5"/>
      <c r="H169" s="24"/>
    </row>
    <row r="170">
      <c r="A170" s="2"/>
      <c r="B170" s="2"/>
      <c r="C170" s="61"/>
      <c r="E170" s="5"/>
      <c r="F170" s="5"/>
      <c r="H170" s="24"/>
    </row>
    <row r="171">
      <c r="A171" s="2"/>
      <c r="B171" s="2"/>
      <c r="C171" s="61"/>
      <c r="E171" s="5"/>
      <c r="F171" s="5"/>
      <c r="H171" s="24"/>
    </row>
    <row r="172">
      <c r="A172" s="2"/>
      <c r="B172" s="2"/>
      <c r="E172" s="5"/>
      <c r="F172" s="5"/>
      <c r="H172" s="24"/>
    </row>
    <row r="173">
      <c r="A173" s="2"/>
      <c r="B173" s="2"/>
      <c r="E173" s="5"/>
      <c r="F173" s="5"/>
      <c r="H173" s="24"/>
    </row>
    <row r="174">
      <c r="A174" s="2"/>
      <c r="B174" s="2"/>
      <c r="E174" s="5"/>
      <c r="F174" s="5"/>
      <c r="H174" s="24"/>
    </row>
    <row r="175">
      <c r="A175" s="2"/>
      <c r="B175" s="2"/>
      <c r="E175" s="5"/>
      <c r="F175" s="5"/>
      <c r="H175" s="24"/>
    </row>
    <row r="176">
      <c r="A176" s="2"/>
      <c r="B176" s="2"/>
      <c r="E176" s="5"/>
      <c r="F176" s="5"/>
      <c r="H176" s="24"/>
    </row>
    <row r="177">
      <c r="A177" s="2"/>
      <c r="B177" s="2"/>
      <c r="D177" s="61"/>
      <c r="E177" s="5"/>
      <c r="F177" s="5"/>
      <c r="H177" s="24"/>
    </row>
    <row r="178">
      <c r="A178" s="2"/>
      <c r="B178" s="2"/>
      <c r="D178" s="61"/>
      <c r="E178" s="5"/>
      <c r="F178" s="5"/>
      <c r="H178" s="24"/>
    </row>
    <row r="179">
      <c r="A179" s="2"/>
      <c r="B179" s="2"/>
      <c r="E179" s="5"/>
      <c r="F179" s="5"/>
      <c r="H179" s="24"/>
    </row>
    <row r="180">
      <c r="A180" s="2"/>
      <c r="B180" s="2"/>
      <c r="E180" s="5"/>
      <c r="F180" s="5"/>
      <c r="H180" s="24"/>
    </row>
    <row r="181">
      <c r="A181" s="2"/>
      <c r="B181" s="2"/>
      <c r="D181" s="61"/>
      <c r="E181" s="5"/>
      <c r="F181" s="5"/>
      <c r="H181" s="24"/>
    </row>
    <row r="182">
      <c r="A182" s="2"/>
      <c r="B182" s="2"/>
      <c r="E182" s="5"/>
      <c r="F182" s="5"/>
      <c r="H182" s="24"/>
    </row>
    <row r="183">
      <c r="A183" s="2"/>
      <c r="B183" s="2"/>
      <c r="E183" s="5"/>
      <c r="F183" s="5"/>
      <c r="H183" s="24"/>
    </row>
    <row r="184">
      <c r="A184" s="2"/>
      <c r="B184" s="2"/>
      <c r="E184" s="5"/>
      <c r="F184" s="5"/>
      <c r="H184" s="24"/>
    </row>
    <row r="185">
      <c r="A185" s="2"/>
      <c r="B185" s="2"/>
      <c r="E185" s="5"/>
      <c r="F185" s="5"/>
      <c r="H185" s="24"/>
    </row>
    <row r="186">
      <c r="A186" s="2"/>
      <c r="B186" s="2"/>
      <c r="E186" s="5"/>
      <c r="F186" s="5"/>
      <c r="H186" s="24"/>
    </row>
    <row r="187">
      <c r="A187" s="2"/>
      <c r="B187" s="2"/>
      <c r="E187" s="5"/>
      <c r="F187" s="5"/>
      <c r="H187" s="24"/>
    </row>
    <row r="188">
      <c r="A188" s="2"/>
      <c r="B188" s="2"/>
      <c r="E188" s="5"/>
      <c r="F188" s="5"/>
      <c r="H188" s="24"/>
    </row>
    <row r="189">
      <c r="A189" s="2"/>
      <c r="B189" s="2"/>
      <c r="E189" s="5"/>
      <c r="F189" s="5"/>
      <c r="H189" s="24"/>
    </row>
    <row r="190">
      <c r="A190" s="2"/>
      <c r="B190" s="2"/>
      <c r="E190" s="5"/>
      <c r="F190" s="5"/>
      <c r="H190" s="24"/>
    </row>
    <row r="191">
      <c r="A191" s="2"/>
      <c r="B191" s="2"/>
      <c r="E191" s="5"/>
      <c r="F191" s="5"/>
      <c r="H191" s="24"/>
    </row>
    <row r="192">
      <c r="A192" s="2"/>
      <c r="B192" s="2"/>
      <c r="E192" s="5"/>
      <c r="F192" s="5"/>
      <c r="H192" s="24"/>
    </row>
    <row r="193">
      <c r="A193" s="2"/>
      <c r="B193" s="2"/>
      <c r="E193" s="5"/>
      <c r="F193" s="5"/>
      <c r="H193" s="24"/>
    </row>
    <row r="194">
      <c r="A194" s="2"/>
      <c r="B194" s="2"/>
      <c r="E194" s="5"/>
      <c r="F194" s="5"/>
      <c r="H194" s="24"/>
    </row>
    <row r="195">
      <c r="A195" s="2"/>
      <c r="B195" s="2"/>
      <c r="E195" s="5"/>
      <c r="F195" s="5"/>
      <c r="H195" s="24"/>
    </row>
    <row r="196">
      <c r="A196" s="2"/>
      <c r="B196" s="2"/>
      <c r="E196" s="5"/>
      <c r="F196" s="5"/>
      <c r="H196" s="24"/>
    </row>
    <row r="197">
      <c r="A197" s="2"/>
      <c r="B197" s="2"/>
      <c r="E197" s="5"/>
      <c r="F197" s="5"/>
      <c r="H197" s="24"/>
    </row>
    <row r="198">
      <c r="A198" s="2"/>
      <c r="B198" s="2"/>
      <c r="E198" s="5"/>
      <c r="F198" s="5"/>
      <c r="H198" s="24"/>
    </row>
    <row r="199">
      <c r="A199" s="2"/>
      <c r="B199" s="2"/>
      <c r="E199" s="5"/>
      <c r="F199" s="5"/>
      <c r="H199" s="24"/>
    </row>
    <row r="200">
      <c r="A200" s="2"/>
      <c r="B200" s="2"/>
      <c r="E200" s="5"/>
      <c r="F200" s="5"/>
      <c r="H200" s="24"/>
    </row>
    <row r="201">
      <c r="A201" s="2"/>
      <c r="B201" s="2"/>
      <c r="E201" s="5"/>
      <c r="F201" s="5"/>
      <c r="H201" s="24"/>
    </row>
    <row r="202">
      <c r="A202" s="2"/>
      <c r="B202" s="2"/>
      <c r="D202" s="61"/>
      <c r="E202" s="5"/>
      <c r="F202" s="5"/>
      <c r="H202" s="24"/>
    </row>
    <row r="203">
      <c r="A203" s="2"/>
      <c r="B203" s="2"/>
      <c r="E203" s="5"/>
      <c r="F203" s="5"/>
      <c r="H203" s="24"/>
    </row>
    <row r="204">
      <c r="A204" s="2"/>
      <c r="B204" s="2"/>
      <c r="E204" s="5"/>
      <c r="F204" s="5"/>
      <c r="H204" s="24"/>
    </row>
    <row r="205">
      <c r="A205" s="2"/>
      <c r="B205" s="2"/>
      <c r="E205" s="5"/>
      <c r="F205" s="5"/>
      <c r="H205" s="24"/>
    </row>
    <row r="206">
      <c r="A206" s="2"/>
      <c r="B206" s="2"/>
      <c r="E206" s="5"/>
      <c r="F206" s="5"/>
      <c r="H206" s="24"/>
    </row>
    <row r="207">
      <c r="A207" s="2"/>
      <c r="B207" s="2"/>
      <c r="E207" s="5"/>
      <c r="F207" s="5"/>
      <c r="H207" s="24"/>
    </row>
    <row r="208">
      <c r="A208" s="2"/>
      <c r="B208" s="2"/>
      <c r="E208" s="5"/>
      <c r="F208" s="23"/>
      <c r="H208" s="24"/>
    </row>
    <row r="209">
      <c r="A209" s="2"/>
      <c r="B209" s="2"/>
      <c r="E209" s="5"/>
      <c r="F209" s="23"/>
      <c r="H209" s="24"/>
    </row>
    <row r="210">
      <c r="A210" s="2"/>
      <c r="B210" s="2"/>
      <c r="E210" s="5"/>
      <c r="F210" s="5"/>
      <c r="H210" s="24"/>
    </row>
    <row r="211">
      <c r="A211" s="2"/>
      <c r="B211" s="2"/>
      <c r="E211" s="5"/>
      <c r="F211" s="5"/>
      <c r="H211" s="24"/>
    </row>
    <row r="212">
      <c r="A212" s="2"/>
      <c r="B212" s="2"/>
      <c r="E212" s="5"/>
      <c r="F212" s="5"/>
      <c r="H212" s="24"/>
    </row>
    <row r="213">
      <c r="A213" s="2"/>
      <c r="B213" s="2"/>
      <c r="E213" s="5"/>
      <c r="F213" s="67"/>
      <c r="H213" s="24"/>
    </row>
    <row r="214">
      <c r="A214" s="2"/>
      <c r="B214" s="8"/>
      <c r="C214" s="61"/>
      <c r="D214" s="61"/>
      <c r="E214" s="61"/>
      <c r="F214" s="61"/>
      <c r="H214" s="24"/>
    </row>
    <row r="215">
      <c r="A215" s="2"/>
      <c r="B215" s="8"/>
      <c r="C215" s="61"/>
      <c r="D215" s="61"/>
      <c r="E215" s="61"/>
      <c r="F215" s="61"/>
      <c r="H215" s="24"/>
    </row>
    <row r="216">
      <c r="A216" s="2"/>
      <c r="B216" s="8"/>
      <c r="C216" s="61"/>
      <c r="D216" s="61"/>
      <c r="E216" s="61"/>
      <c r="F216" s="61"/>
      <c r="H216" s="24"/>
    </row>
    <row r="217">
      <c r="A217" s="2"/>
      <c r="B217" s="8"/>
      <c r="C217" s="61"/>
      <c r="D217" s="61"/>
      <c r="E217" s="61"/>
      <c r="F217" s="61"/>
      <c r="H217" s="24"/>
    </row>
    <row r="218">
      <c r="A218" s="2"/>
      <c r="B218" s="8"/>
      <c r="C218" s="61"/>
      <c r="D218" s="61"/>
      <c r="E218" s="61"/>
      <c r="F218" s="61"/>
      <c r="H218" s="24"/>
    </row>
    <row r="219">
      <c r="A219" s="2"/>
      <c r="B219" s="8"/>
      <c r="C219" s="61"/>
      <c r="D219" s="61"/>
      <c r="E219" s="61"/>
      <c r="F219" s="61"/>
      <c r="H219" s="24"/>
    </row>
    <row r="220">
      <c r="A220" s="2"/>
      <c r="B220" s="8"/>
      <c r="C220" s="61"/>
      <c r="D220" s="61"/>
      <c r="E220" s="61"/>
      <c r="F220" s="61"/>
      <c r="H220" s="24"/>
    </row>
    <row r="221">
      <c r="A221" s="2"/>
      <c r="B221" s="8"/>
      <c r="C221" s="61"/>
      <c r="D221" s="61"/>
      <c r="E221" s="61"/>
      <c r="F221" s="61"/>
      <c r="H221" s="24"/>
    </row>
    <row r="222">
      <c r="A222" s="2"/>
      <c r="B222" s="8"/>
      <c r="C222" s="61"/>
      <c r="D222" s="61"/>
      <c r="E222" s="61"/>
      <c r="F222" s="61"/>
      <c r="H222" s="24"/>
    </row>
    <row r="223">
      <c r="A223" s="2"/>
      <c r="B223" s="8"/>
      <c r="C223" s="61"/>
      <c r="D223" s="61"/>
      <c r="E223" s="61"/>
      <c r="F223" s="61"/>
      <c r="H223" s="24"/>
    </row>
    <row r="224">
      <c r="B224" s="8"/>
      <c r="C224" s="61"/>
      <c r="D224" s="61"/>
      <c r="E224" s="61"/>
      <c r="F224" s="61"/>
      <c r="H224" s="24"/>
    </row>
    <row r="225">
      <c r="B225" s="8"/>
      <c r="C225" s="61"/>
      <c r="D225" s="61"/>
      <c r="E225" s="61"/>
      <c r="F225" s="61"/>
      <c r="H225" s="24"/>
    </row>
    <row r="226">
      <c r="B226" s="8"/>
      <c r="C226" s="61"/>
      <c r="D226" s="61"/>
      <c r="E226" s="61"/>
      <c r="F226" s="61"/>
      <c r="H226" s="24"/>
    </row>
    <row r="227">
      <c r="B227" s="8"/>
      <c r="C227" s="61"/>
      <c r="D227" s="61"/>
      <c r="E227" s="61"/>
      <c r="F227" s="61"/>
      <c r="H227" s="24"/>
    </row>
    <row r="228">
      <c r="B228" s="8"/>
      <c r="C228" s="61"/>
      <c r="D228" s="61"/>
      <c r="E228" s="61"/>
      <c r="F228" s="61"/>
      <c r="H228" s="24"/>
    </row>
    <row r="229">
      <c r="B229" s="8"/>
      <c r="C229" s="61"/>
      <c r="D229" s="61"/>
      <c r="E229" s="61"/>
      <c r="F229" s="61"/>
      <c r="H229" s="24"/>
    </row>
    <row r="230">
      <c r="B230" s="8"/>
      <c r="C230" s="61"/>
      <c r="D230" s="61"/>
      <c r="E230" s="61"/>
      <c r="F230" s="61"/>
      <c r="H230" s="24"/>
    </row>
    <row r="231">
      <c r="B231" s="8"/>
      <c r="C231" s="61"/>
      <c r="D231" s="61"/>
      <c r="E231" s="61"/>
      <c r="F231" s="61"/>
      <c r="H231" s="24"/>
    </row>
    <row r="232">
      <c r="B232" s="8"/>
      <c r="C232" s="61"/>
      <c r="D232" s="61"/>
      <c r="E232" s="61"/>
      <c r="F232" s="61"/>
      <c r="H232" s="24"/>
    </row>
    <row r="233">
      <c r="B233" s="8"/>
      <c r="C233" s="61"/>
      <c r="D233" s="61"/>
      <c r="E233" s="61"/>
      <c r="F233" s="61"/>
      <c r="H233" s="24"/>
    </row>
    <row r="234">
      <c r="B234" s="8"/>
      <c r="C234" s="61"/>
      <c r="D234" s="61"/>
      <c r="E234" s="61"/>
      <c r="F234" s="61"/>
      <c r="H234" s="24"/>
    </row>
    <row r="235">
      <c r="B235" s="8"/>
      <c r="C235" s="61"/>
      <c r="D235" s="61"/>
      <c r="E235" s="61"/>
      <c r="F235" s="61"/>
      <c r="H235" s="24"/>
    </row>
    <row r="236">
      <c r="B236" s="8"/>
      <c r="C236" s="61"/>
      <c r="D236" s="61"/>
      <c r="E236" s="61"/>
      <c r="F236" s="61"/>
      <c r="H236" s="24"/>
    </row>
    <row r="237">
      <c r="B237" s="8"/>
      <c r="C237" s="61"/>
      <c r="D237" s="61"/>
      <c r="E237" s="61"/>
      <c r="F237" s="61"/>
      <c r="H237" s="24"/>
    </row>
    <row r="238">
      <c r="B238" s="8"/>
      <c r="C238" s="61"/>
      <c r="D238" s="61"/>
      <c r="E238" s="61"/>
      <c r="F238" s="61"/>
      <c r="H238" s="24"/>
    </row>
    <row r="239">
      <c r="B239" s="8"/>
      <c r="C239" s="61"/>
      <c r="D239" s="61"/>
      <c r="E239" s="61"/>
      <c r="F239" s="61"/>
      <c r="H239" s="24"/>
    </row>
    <row r="240">
      <c r="B240" s="8"/>
      <c r="C240" s="61"/>
      <c r="D240" s="61"/>
      <c r="E240" s="61"/>
      <c r="F240" s="61"/>
      <c r="H240" s="24"/>
    </row>
    <row r="241">
      <c r="B241" s="8"/>
      <c r="C241" s="61"/>
      <c r="D241" s="61"/>
      <c r="E241" s="61"/>
      <c r="F241" s="61"/>
      <c r="H241" s="24"/>
    </row>
    <row r="242">
      <c r="B242" s="8"/>
      <c r="C242" s="61"/>
      <c r="D242" s="61"/>
      <c r="E242" s="61"/>
      <c r="F242" s="61"/>
      <c r="H242" s="24"/>
    </row>
    <row r="243">
      <c r="B243" s="8"/>
      <c r="C243" s="61"/>
      <c r="D243" s="61"/>
      <c r="E243" s="61"/>
      <c r="F243" s="61"/>
      <c r="H243" s="24"/>
    </row>
    <row r="244">
      <c r="B244" s="8"/>
      <c r="C244" s="61"/>
      <c r="D244" s="61"/>
      <c r="E244" s="61"/>
      <c r="F244" s="61"/>
      <c r="H244" s="24"/>
    </row>
    <row r="245">
      <c r="B245" s="8"/>
      <c r="C245" s="61"/>
      <c r="D245" s="61"/>
      <c r="E245" s="61"/>
      <c r="F245" s="61"/>
      <c r="H245" s="24"/>
    </row>
    <row r="246">
      <c r="B246" s="8"/>
      <c r="C246" s="61"/>
      <c r="D246" s="61"/>
      <c r="E246" s="61"/>
      <c r="F246" s="61"/>
      <c r="H246" s="24"/>
    </row>
    <row r="247">
      <c r="B247" s="8"/>
      <c r="C247" s="61"/>
      <c r="D247" s="61"/>
      <c r="E247" s="61"/>
      <c r="F247" s="61"/>
      <c r="H247" s="24"/>
    </row>
    <row r="248">
      <c r="B248" s="8"/>
      <c r="C248" s="61"/>
      <c r="D248" s="61"/>
      <c r="E248" s="61"/>
      <c r="F248" s="61"/>
      <c r="H248" s="24"/>
    </row>
    <row r="249">
      <c r="B249" s="8"/>
      <c r="C249" s="61"/>
      <c r="D249" s="61"/>
      <c r="E249" s="61"/>
      <c r="F249" s="61"/>
      <c r="H249" s="24"/>
    </row>
    <row r="250">
      <c r="B250" s="8"/>
      <c r="C250" s="61"/>
      <c r="D250" s="61"/>
      <c r="E250" s="61"/>
      <c r="F250" s="61"/>
      <c r="H250" s="24"/>
    </row>
    <row r="251">
      <c r="B251" s="8"/>
      <c r="C251" s="61"/>
      <c r="D251" s="61"/>
      <c r="E251" s="61"/>
      <c r="F251" s="61"/>
      <c r="H251" s="24"/>
    </row>
    <row r="252">
      <c r="B252" s="8"/>
      <c r="C252" s="61"/>
      <c r="D252" s="61"/>
      <c r="E252" s="61"/>
      <c r="F252" s="61"/>
      <c r="H252" s="24"/>
    </row>
    <row r="253">
      <c r="B253" s="8"/>
      <c r="C253" s="61"/>
      <c r="D253" s="61"/>
      <c r="E253" s="61"/>
      <c r="F253" s="61"/>
      <c r="H253" s="24"/>
    </row>
    <row r="254">
      <c r="B254" s="8"/>
      <c r="C254" s="61"/>
      <c r="D254" s="61"/>
      <c r="E254" s="61"/>
      <c r="F254" s="61"/>
      <c r="H254" s="24"/>
    </row>
    <row r="255">
      <c r="B255" s="8"/>
      <c r="C255" s="61"/>
      <c r="D255" s="61"/>
      <c r="E255" s="61"/>
      <c r="F255" s="61"/>
      <c r="H255" s="24"/>
    </row>
    <row r="256">
      <c r="B256" s="8"/>
      <c r="C256" s="61"/>
      <c r="D256" s="61"/>
      <c r="E256" s="61"/>
      <c r="F256" s="61"/>
      <c r="H256" s="24"/>
    </row>
    <row r="257">
      <c r="B257" s="8"/>
      <c r="C257" s="61"/>
      <c r="D257" s="61"/>
      <c r="E257" s="61"/>
      <c r="F257" s="61"/>
      <c r="H257" s="24"/>
    </row>
    <row r="258">
      <c r="B258" s="8"/>
      <c r="C258" s="61"/>
      <c r="D258" s="61"/>
      <c r="E258" s="61"/>
      <c r="F258" s="61"/>
      <c r="H258" s="24"/>
    </row>
    <row r="259">
      <c r="B259" s="8"/>
      <c r="C259" s="61"/>
      <c r="D259" s="61"/>
      <c r="E259" s="61"/>
      <c r="F259" s="61"/>
      <c r="H259" s="24"/>
    </row>
    <row r="260">
      <c r="B260" s="8"/>
      <c r="C260" s="61"/>
      <c r="D260" s="61"/>
      <c r="E260" s="61"/>
      <c r="F260" s="61"/>
      <c r="H260" s="24"/>
    </row>
    <row r="261">
      <c r="B261" s="8"/>
      <c r="C261" s="61"/>
      <c r="D261" s="61"/>
      <c r="E261" s="61"/>
      <c r="F261" s="61"/>
      <c r="H261" s="24"/>
    </row>
    <row r="262">
      <c r="B262" s="8"/>
      <c r="C262" s="61"/>
      <c r="D262" s="61"/>
      <c r="E262" s="61"/>
      <c r="F262" s="61"/>
      <c r="H262" s="24"/>
    </row>
    <row r="263">
      <c r="B263" s="8"/>
      <c r="C263" s="61"/>
      <c r="D263" s="61"/>
      <c r="E263" s="61"/>
      <c r="F263" s="61"/>
      <c r="H263" s="24"/>
    </row>
    <row r="264">
      <c r="B264" s="8"/>
      <c r="C264" s="61"/>
      <c r="D264" s="61"/>
      <c r="E264" s="61"/>
      <c r="F264" s="61"/>
      <c r="H264" s="24"/>
    </row>
    <row r="265">
      <c r="B265" s="8"/>
      <c r="C265" s="61"/>
      <c r="D265" s="61"/>
      <c r="E265" s="61"/>
      <c r="F265" s="61"/>
      <c r="H265" s="24"/>
    </row>
    <row r="266">
      <c r="B266" s="8"/>
      <c r="C266" s="61"/>
      <c r="D266" s="61"/>
      <c r="E266" s="61"/>
      <c r="F266" s="61"/>
      <c r="H266" s="24"/>
    </row>
    <row r="267">
      <c r="B267" s="8"/>
      <c r="C267" s="61"/>
      <c r="D267" s="61"/>
      <c r="E267" s="61"/>
      <c r="F267" s="61"/>
      <c r="H267" s="24"/>
    </row>
    <row r="268">
      <c r="B268" s="8"/>
      <c r="C268" s="61"/>
      <c r="D268" s="61"/>
      <c r="E268" s="61"/>
      <c r="F268" s="61"/>
      <c r="H268" s="24"/>
    </row>
    <row r="269">
      <c r="B269" s="8"/>
      <c r="C269" s="61"/>
      <c r="D269" s="61"/>
      <c r="E269" s="61"/>
      <c r="F269" s="61"/>
      <c r="H269" s="24"/>
    </row>
    <row r="270">
      <c r="B270" s="8"/>
      <c r="C270" s="61"/>
      <c r="D270" s="61"/>
      <c r="E270" s="61"/>
      <c r="F270" s="61"/>
      <c r="H270" s="24"/>
    </row>
    <row r="271">
      <c r="B271" s="8"/>
      <c r="C271" s="61"/>
      <c r="D271" s="61"/>
      <c r="E271" s="61"/>
      <c r="F271" s="61"/>
      <c r="H271" s="24"/>
    </row>
    <row r="272">
      <c r="B272" s="8"/>
      <c r="C272" s="61"/>
      <c r="D272" s="61"/>
      <c r="E272" s="61"/>
      <c r="F272" s="61"/>
      <c r="H272" s="24"/>
    </row>
    <row r="273">
      <c r="B273" s="8"/>
      <c r="C273" s="61"/>
      <c r="D273" s="61"/>
      <c r="E273" s="61"/>
      <c r="F273" s="61"/>
      <c r="H273" s="24"/>
    </row>
    <row r="274">
      <c r="B274" s="8"/>
      <c r="C274" s="61"/>
      <c r="D274" s="61"/>
      <c r="E274" s="61"/>
      <c r="F274" s="61"/>
      <c r="H274" s="24"/>
    </row>
    <row r="275">
      <c r="B275" s="8"/>
      <c r="C275" s="61"/>
      <c r="D275" s="61"/>
      <c r="E275" s="61"/>
      <c r="F275" s="61"/>
      <c r="H275" s="24"/>
    </row>
    <row r="276">
      <c r="B276" s="8"/>
      <c r="C276" s="61"/>
      <c r="D276" s="61"/>
      <c r="E276" s="61"/>
      <c r="F276" s="61"/>
      <c r="H276" s="24"/>
    </row>
    <row r="277">
      <c r="B277" s="8"/>
      <c r="C277" s="61"/>
      <c r="D277" s="61"/>
      <c r="E277" s="61"/>
      <c r="F277" s="61"/>
      <c r="H277" s="24"/>
    </row>
    <row r="278">
      <c r="B278" s="8"/>
      <c r="C278" s="61"/>
      <c r="D278" s="61"/>
      <c r="E278" s="61"/>
      <c r="F278" s="61"/>
      <c r="H278" s="24"/>
    </row>
    <row r="279">
      <c r="B279" s="8"/>
      <c r="C279" s="61"/>
      <c r="D279" s="61"/>
      <c r="E279" s="61"/>
      <c r="F279" s="61"/>
      <c r="H279" s="24"/>
    </row>
    <row r="280">
      <c r="B280" s="8"/>
      <c r="C280" s="61"/>
      <c r="D280" s="61"/>
      <c r="E280" s="61"/>
      <c r="F280" s="61"/>
      <c r="H280" s="24"/>
    </row>
    <row r="281">
      <c r="B281" s="8"/>
      <c r="C281" s="61"/>
      <c r="D281" s="61"/>
      <c r="E281" s="61"/>
      <c r="F281" s="61"/>
      <c r="H281" s="24"/>
    </row>
    <row r="282">
      <c r="B282" s="8"/>
      <c r="C282" s="61"/>
      <c r="D282" s="61"/>
      <c r="E282" s="61"/>
      <c r="F282" s="61"/>
      <c r="H282" s="24"/>
    </row>
    <row r="283">
      <c r="B283" s="8"/>
      <c r="C283" s="61"/>
      <c r="D283" s="61"/>
      <c r="E283" s="61"/>
      <c r="F283" s="61"/>
      <c r="H283" s="24"/>
    </row>
    <row r="284">
      <c r="B284" s="8"/>
      <c r="C284" s="61"/>
      <c r="D284" s="61"/>
      <c r="E284" s="61"/>
      <c r="F284" s="61"/>
      <c r="H284" s="24"/>
    </row>
    <row r="285">
      <c r="B285" s="8"/>
      <c r="C285" s="61"/>
      <c r="D285" s="61"/>
      <c r="E285" s="61"/>
      <c r="F285" s="61"/>
      <c r="H285" s="24"/>
    </row>
    <row r="286">
      <c r="B286" s="8"/>
      <c r="C286" s="61"/>
      <c r="D286" s="61"/>
      <c r="E286" s="61"/>
      <c r="F286" s="61"/>
      <c r="H286" s="24"/>
    </row>
    <row r="287">
      <c r="B287" s="8"/>
      <c r="C287" s="61"/>
      <c r="D287" s="61"/>
      <c r="E287" s="61"/>
      <c r="F287" s="61"/>
      <c r="H287" s="24"/>
    </row>
    <row r="288">
      <c r="B288" s="8"/>
      <c r="C288" s="61"/>
      <c r="D288" s="61"/>
      <c r="E288" s="61"/>
      <c r="F288" s="61"/>
      <c r="H288" s="24"/>
    </row>
    <row r="289">
      <c r="B289" s="8"/>
      <c r="C289" s="61"/>
      <c r="D289" s="61"/>
      <c r="E289" s="61"/>
      <c r="F289" s="61"/>
      <c r="H289" s="24"/>
    </row>
    <row r="290">
      <c r="B290" s="8"/>
      <c r="C290" s="61"/>
      <c r="D290" s="61"/>
      <c r="E290" s="61"/>
      <c r="F290" s="61"/>
      <c r="H290" s="24"/>
    </row>
    <row r="291">
      <c r="B291" s="8"/>
      <c r="C291" s="61"/>
      <c r="D291" s="61"/>
      <c r="E291" s="61"/>
      <c r="F291" s="61"/>
      <c r="H291" s="24"/>
    </row>
    <row r="292">
      <c r="B292" s="8"/>
      <c r="C292" s="61"/>
      <c r="D292" s="61"/>
      <c r="E292" s="61"/>
      <c r="F292" s="61"/>
      <c r="H292" s="24"/>
    </row>
    <row r="293">
      <c r="B293" s="8"/>
      <c r="C293" s="61"/>
      <c r="D293" s="61"/>
      <c r="E293" s="61"/>
      <c r="F293" s="61"/>
      <c r="H293" s="24"/>
    </row>
    <row r="294">
      <c r="B294" s="8"/>
      <c r="C294" s="61"/>
      <c r="D294" s="61"/>
      <c r="E294" s="61"/>
      <c r="F294" s="61"/>
      <c r="H294" s="24"/>
    </row>
    <row r="295">
      <c r="B295" s="8"/>
      <c r="C295" s="61"/>
      <c r="D295" s="61"/>
      <c r="E295" s="61"/>
      <c r="F295" s="61"/>
      <c r="H295" s="24"/>
    </row>
    <row r="296">
      <c r="B296" s="8"/>
      <c r="C296" s="61"/>
      <c r="D296" s="61"/>
      <c r="E296" s="61"/>
      <c r="F296" s="61"/>
      <c r="H296" s="24"/>
    </row>
    <row r="297">
      <c r="B297" s="8"/>
      <c r="C297" s="61"/>
      <c r="D297" s="61"/>
      <c r="E297" s="61"/>
      <c r="F297" s="61"/>
      <c r="H297" s="24"/>
    </row>
    <row r="298">
      <c r="B298" s="8"/>
      <c r="C298" s="61"/>
      <c r="D298" s="61"/>
      <c r="E298" s="61"/>
      <c r="F298" s="61"/>
      <c r="H298" s="24"/>
    </row>
    <row r="299">
      <c r="B299" s="8"/>
      <c r="C299" s="61"/>
      <c r="D299" s="61"/>
      <c r="E299" s="61"/>
      <c r="F299" s="61"/>
      <c r="H299" s="24"/>
    </row>
    <row r="300">
      <c r="B300" s="8"/>
      <c r="C300" s="61"/>
      <c r="D300" s="61"/>
      <c r="E300" s="61"/>
      <c r="F300" s="61"/>
      <c r="H300" s="24"/>
    </row>
    <row r="301">
      <c r="B301" s="8"/>
      <c r="C301" s="61"/>
      <c r="D301" s="61"/>
      <c r="E301" s="61"/>
      <c r="F301" s="61"/>
      <c r="H301" s="24"/>
    </row>
    <row r="302">
      <c r="B302" s="8"/>
      <c r="C302" s="61"/>
      <c r="D302" s="61"/>
      <c r="E302" s="61"/>
      <c r="F302" s="61"/>
      <c r="H302" s="24"/>
    </row>
    <row r="303">
      <c r="B303" s="8"/>
      <c r="C303" s="61"/>
      <c r="D303" s="61"/>
      <c r="E303" s="61"/>
      <c r="F303" s="61"/>
      <c r="H303" s="24"/>
    </row>
    <row r="304">
      <c r="B304" s="8"/>
      <c r="C304" s="61"/>
      <c r="D304" s="61"/>
      <c r="E304" s="61"/>
      <c r="F304" s="61"/>
      <c r="H304" s="24"/>
    </row>
    <row r="305">
      <c r="B305" s="8"/>
      <c r="C305" s="61"/>
      <c r="D305" s="61"/>
      <c r="E305" s="61"/>
      <c r="F305" s="61"/>
      <c r="H305" s="24"/>
    </row>
    <row r="306">
      <c r="B306" s="8"/>
      <c r="C306" s="61"/>
      <c r="D306" s="61"/>
      <c r="E306" s="61"/>
      <c r="F306" s="61"/>
      <c r="H306" s="24"/>
    </row>
    <row r="307">
      <c r="B307" s="8"/>
      <c r="C307" s="61"/>
      <c r="D307" s="61"/>
      <c r="E307" s="61"/>
      <c r="F307" s="61"/>
      <c r="H307" s="24"/>
    </row>
    <row r="308">
      <c r="B308" s="8"/>
      <c r="C308" s="61"/>
      <c r="D308" s="61"/>
      <c r="E308" s="61"/>
      <c r="F308" s="61"/>
      <c r="H308" s="24"/>
    </row>
    <row r="309">
      <c r="B309" s="8"/>
      <c r="C309" s="61"/>
      <c r="D309" s="61"/>
      <c r="E309" s="61"/>
      <c r="F309" s="61"/>
      <c r="H309" s="24"/>
    </row>
    <row r="310">
      <c r="B310" s="8"/>
      <c r="C310" s="61"/>
      <c r="D310" s="61"/>
      <c r="E310" s="61"/>
      <c r="F310" s="61"/>
      <c r="H310" s="24"/>
    </row>
    <row r="311">
      <c r="B311" s="8"/>
      <c r="C311" s="61"/>
      <c r="D311" s="61"/>
      <c r="E311" s="61"/>
      <c r="F311" s="61"/>
      <c r="H311" s="24"/>
    </row>
    <row r="312">
      <c r="B312" s="8"/>
      <c r="C312" s="61"/>
      <c r="D312" s="61"/>
      <c r="E312" s="61"/>
      <c r="F312" s="61"/>
      <c r="H312" s="24"/>
    </row>
    <row r="313">
      <c r="B313" s="8"/>
      <c r="C313" s="61"/>
      <c r="D313" s="61"/>
      <c r="E313" s="61"/>
      <c r="F313" s="61"/>
      <c r="H313" s="24"/>
    </row>
    <row r="314">
      <c r="B314" s="8"/>
      <c r="C314" s="61"/>
      <c r="D314" s="61"/>
      <c r="E314" s="61"/>
      <c r="F314" s="61"/>
      <c r="H314" s="24"/>
    </row>
    <row r="315">
      <c r="B315" s="8"/>
      <c r="C315" s="61"/>
      <c r="D315" s="61"/>
      <c r="E315" s="61"/>
      <c r="F315" s="61"/>
      <c r="H315" s="24"/>
    </row>
    <row r="316">
      <c r="B316" s="8"/>
      <c r="C316" s="61"/>
      <c r="D316" s="61"/>
      <c r="E316" s="61"/>
      <c r="F316" s="61"/>
      <c r="H316" s="24"/>
    </row>
    <row r="317">
      <c r="B317" s="8"/>
      <c r="C317" s="61"/>
      <c r="D317" s="61"/>
      <c r="E317" s="61"/>
      <c r="F317" s="61"/>
      <c r="H317" s="24"/>
    </row>
    <row r="318">
      <c r="B318" s="8"/>
      <c r="C318" s="61"/>
      <c r="D318" s="61"/>
      <c r="E318" s="61"/>
      <c r="F318" s="61"/>
      <c r="H318" s="24"/>
    </row>
    <row r="319">
      <c r="B319" s="8"/>
      <c r="C319" s="61"/>
      <c r="D319" s="61"/>
      <c r="E319" s="61"/>
      <c r="F319" s="61"/>
      <c r="H319" s="24"/>
    </row>
    <row r="320">
      <c r="B320" s="8"/>
      <c r="C320" s="61"/>
      <c r="D320" s="61"/>
      <c r="E320" s="61"/>
      <c r="F320" s="61"/>
      <c r="H320" s="24"/>
    </row>
    <row r="321">
      <c r="B321" s="8"/>
      <c r="C321" s="61"/>
      <c r="D321" s="61"/>
      <c r="E321" s="61"/>
      <c r="F321" s="61"/>
      <c r="H321" s="24"/>
    </row>
    <row r="322">
      <c r="B322" s="8"/>
      <c r="C322" s="61"/>
      <c r="D322" s="61"/>
      <c r="E322" s="61"/>
      <c r="F322" s="61"/>
      <c r="H322" s="24"/>
    </row>
    <row r="323">
      <c r="B323" s="8"/>
      <c r="C323" s="61"/>
      <c r="D323" s="61"/>
      <c r="E323" s="61"/>
      <c r="F323" s="61"/>
      <c r="H323" s="24"/>
    </row>
    <row r="324">
      <c r="B324" s="8"/>
      <c r="C324" s="61"/>
      <c r="D324" s="61"/>
      <c r="E324" s="61"/>
      <c r="F324" s="61"/>
      <c r="H324" s="24"/>
    </row>
    <row r="325">
      <c r="B325" s="8"/>
      <c r="C325" s="61"/>
      <c r="D325" s="61"/>
      <c r="E325" s="61"/>
      <c r="F325" s="61"/>
      <c r="H325" s="24"/>
    </row>
    <row r="326">
      <c r="B326" s="8"/>
      <c r="C326" s="61"/>
      <c r="D326" s="61"/>
      <c r="E326" s="61"/>
      <c r="F326" s="61"/>
      <c r="H326" s="24"/>
    </row>
    <row r="327">
      <c r="B327" s="8"/>
      <c r="C327" s="61"/>
      <c r="D327" s="61"/>
      <c r="E327" s="61"/>
      <c r="F327" s="61"/>
      <c r="H327" s="24"/>
    </row>
    <row r="328">
      <c r="B328" s="8"/>
      <c r="C328" s="61"/>
      <c r="D328" s="61"/>
      <c r="E328" s="61"/>
      <c r="F328" s="61"/>
      <c r="H328" s="24"/>
    </row>
    <row r="329">
      <c r="B329" s="8"/>
      <c r="C329" s="61"/>
      <c r="D329" s="61"/>
      <c r="E329" s="61"/>
      <c r="F329" s="61"/>
      <c r="H329" s="24"/>
    </row>
    <row r="330">
      <c r="B330" s="8"/>
      <c r="C330" s="61"/>
      <c r="D330" s="61"/>
      <c r="E330" s="61"/>
      <c r="F330" s="61"/>
      <c r="H330" s="24"/>
    </row>
    <row r="331">
      <c r="B331" s="8"/>
      <c r="C331" s="61"/>
      <c r="D331" s="61"/>
      <c r="E331" s="61"/>
      <c r="F331" s="61"/>
      <c r="H331" s="24"/>
    </row>
    <row r="332">
      <c r="B332" s="8"/>
      <c r="C332" s="61"/>
      <c r="D332" s="61"/>
      <c r="E332" s="61"/>
      <c r="F332" s="61"/>
      <c r="H332" s="24"/>
    </row>
    <row r="333">
      <c r="B333" s="8"/>
      <c r="C333" s="61"/>
      <c r="D333" s="61"/>
      <c r="E333" s="61"/>
      <c r="F333" s="61"/>
      <c r="H333" s="24"/>
    </row>
    <row r="334">
      <c r="B334" s="8"/>
      <c r="C334" s="61"/>
      <c r="D334" s="61"/>
      <c r="E334" s="61"/>
      <c r="F334" s="61"/>
      <c r="H334" s="24"/>
    </row>
    <row r="335">
      <c r="B335" s="8"/>
      <c r="C335" s="61"/>
      <c r="D335" s="61"/>
      <c r="E335" s="61"/>
      <c r="F335" s="61"/>
      <c r="H335" s="24"/>
    </row>
    <row r="336">
      <c r="B336" s="8"/>
      <c r="C336" s="61"/>
      <c r="D336" s="61"/>
      <c r="E336" s="61"/>
      <c r="F336" s="61"/>
      <c r="H336" s="24"/>
    </row>
    <row r="337">
      <c r="B337" s="8"/>
      <c r="C337" s="61"/>
      <c r="D337" s="61"/>
      <c r="E337" s="61"/>
      <c r="F337" s="61"/>
      <c r="H337" s="24"/>
    </row>
    <row r="338">
      <c r="B338" s="8"/>
      <c r="C338" s="61"/>
      <c r="D338" s="61"/>
      <c r="E338" s="61"/>
      <c r="F338" s="61"/>
      <c r="H338" s="24"/>
    </row>
    <row r="339">
      <c r="B339" s="8"/>
      <c r="C339" s="61"/>
      <c r="D339" s="61"/>
      <c r="E339" s="61"/>
      <c r="F339" s="61"/>
      <c r="H339" s="24"/>
    </row>
    <row r="340">
      <c r="B340" s="8"/>
      <c r="C340" s="61"/>
      <c r="D340" s="61"/>
      <c r="E340" s="61"/>
      <c r="F340" s="61"/>
      <c r="H340" s="24"/>
    </row>
    <row r="341">
      <c r="B341" s="8"/>
      <c r="C341" s="61"/>
      <c r="D341" s="61"/>
      <c r="E341" s="61"/>
      <c r="F341" s="61"/>
      <c r="H341" s="24"/>
    </row>
    <row r="342">
      <c r="B342" s="8"/>
      <c r="C342" s="61"/>
      <c r="D342" s="61"/>
      <c r="E342" s="61"/>
      <c r="F342" s="61"/>
      <c r="H342" s="24"/>
    </row>
    <row r="343">
      <c r="B343" s="8"/>
      <c r="C343" s="61"/>
      <c r="D343" s="61"/>
      <c r="E343" s="61"/>
      <c r="F343" s="61"/>
      <c r="H343" s="24"/>
    </row>
    <row r="344">
      <c r="B344" s="8"/>
      <c r="C344" s="61"/>
      <c r="D344" s="61"/>
      <c r="E344" s="61"/>
      <c r="F344" s="61"/>
      <c r="H344" s="24"/>
    </row>
    <row r="345">
      <c r="B345" s="8"/>
      <c r="C345" s="61"/>
      <c r="D345" s="61"/>
      <c r="E345" s="61"/>
      <c r="F345" s="61"/>
      <c r="H345" s="24"/>
    </row>
    <row r="346">
      <c r="B346" s="8"/>
      <c r="C346" s="61"/>
      <c r="D346" s="61"/>
      <c r="E346" s="61"/>
      <c r="F346" s="61"/>
      <c r="H346" s="24"/>
    </row>
    <row r="347">
      <c r="B347" s="8"/>
      <c r="C347" s="61"/>
      <c r="D347" s="61"/>
      <c r="E347" s="61"/>
      <c r="F347" s="61"/>
      <c r="H347" s="24"/>
    </row>
    <row r="348">
      <c r="B348" s="8"/>
      <c r="C348" s="61"/>
      <c r="D348" s="61"/>
      <c r="E348" s="61"/>
      <c r="F348" s="61"/>
      <c r="H348" s="24"/>
    </row>
    <row r="349">
      <c r="B349" s="8"/>
      <c r="C349" s="61"/>
      <c r="D349" s="61"/>
      <c r="E349" s="61"/>
      <c r="F349" s="61"/>
      <c r="H349" s="24"/>
    </row>
    <row r="350">
      <c r="B350" s="8"/>
      <c r="C350" s="61"/>
      <c r="D350" s="61"/>
      <c r="E350" s="61"/>
      <c r="F350" s="61"/>
      <c r="H350" s="24"/>
    </row>
    <row r="351">
      <c r="B351" s="8"/>
      <c r="C351" s="61"/>
      <c r="D351" s="61"/>
      <c r="E351" s="61"/>
      <c r="F351" s="61"/>
      <c r="H351" s="24"/>
    </row>
    <row r="352">
      <c r="B352" s="8"/>
      <c r="C352" s="61"/>
      <c r="D352" s="61"/>
      <c r="E352" s="61"/>
      <c r="F352" s="61"/>
      <c r="H352" s="24"/>
    </row>
    <row r="353">
      <c r="B353" s="8"/>
      <c r="C353" s="61"/>
      <c r="D353" s="61"/>
      <c r="E353" s="61"/>
      <c r="F353" s="61"/>
      <c r="H353" s="24"/>
    </row>
    <row r="354">
      <c r="B354" s="8"/>
      <c r="C354" s="61"/>
      <c r="D354" s="61"/>
      <c r="E354" s="61"/>
      <c r="F354" s="61"/>
      <c r="H354" s="24"/>
    </row>
    <row r="355">
      <c r="B355" s="8"/>
      <c r="C355" s="61"/>
      <c r="D355" s="61"/>
      <c r="E355" s="61"/>
      <c r="F355" s="61"/>
      <c r="H355" s="24"/>
    </row>
    <row r="356">
      <c r="B356" s="8"/>
      <c r="C356" s="61"/>
      <c r="D356" s="61"/>
      <c r="E356" s="61"/>
      <c r="F356" s="61"/>
      <c r="H356" s="24"/>
    </row>
    <row r="357">
      <c r="B357" s="8"/>
      <c r="C357" s="61"/>
      <c r="D357" s="61"/>
      <c r="E357" s="61"/>
      <c r="F357" s="61"/>
      <c r="H357" s="24"/>
    </row>
    <row r="358">
      <c r="B358" s="8"/>
      <c r="C358" s="61"/>
      <c r="D358" s="61"/>
      <c r="E358" s="61"/>
      <c r="F358" s="61"/>
      <c r="H358" s="24"/>
    </row>
    <row r="359">
      <c r="B359" s="8"/>
      <c r="C359" s="61"/>
      <c r="D359" s="61"/>
      <c r="E359" s="61"/>
      <c r="F359" s="61"/>
      <c r="H359" s="24"/>
    </row>
    <row r="360">
      <c r="B360" s="8"/>
      <c r="C360" s="61"/>
      <c r="D360" s="61"/>
      <c r="E360" s="61"/>
      <c r="F360" s="61"/>
      <c r="H360" s="24"/>
    </row>
    <row r="361">
      <c r="B361" s="8"/>
      <c r="C361" s="61"/>
      <c r="D361" s="61"/>
      <c r="E361" s="61"/>
      <c r="F361" s="61"/>
      <c r="H361" s="24"/>
    </row>
    <row r="362">
      <c r="B362" s="8"/>
      <c r="C362" s="61"/>
      <c r="D362" s="61"/>
      <c r="E362" s="61"/>
      <c r="F362" s="61"/>
      <c r="H362" s="24"/>
    </row>
    <row r="363">
      <c r="B363" s="8"/>
      <c r="C363" s="61"/>
      <c r="D363" s="61"/>
      <c r="E363" s="61"/>
      <c r="F363" s="61"/>
      <c r="H363" s="24"/>
    </row>
    <row r="364">
      <c r="B364" s="8"/>
      <c r="C364" s="61"/>
      <c r="D364" s="61"/>
      <c r="E364" s="61"/>
      <c r="F364" s="61"/>
      <c r="H364" s="24"/>
    </row>
    <row r="365">
      <c r="B365" s="8"/>
      <c r="C365" s="61"/>
      <c r="D365" s="61"/>
      <c r="E365" s="61"/>
      <c r="F365" s="61"/>
      <c r="H365" s="24"/>
    </row>
    <row r="366">
      <c r="B366" s="8"/>
      <c r="C366" s="61"/>
      <c r="D366" s="61"/>
      <c r="E366" s="61"/>
      <c r="F366" s="61"/>
      <c r="H366" s="24"/>
    </row>
    <row r="367">
      <c r="B367" s="8"/>
      <c r="C367" s="61"/>
      <c r="D367" s="61"/>
      <c r="E367" s="61"/>
      <c r="F367" s="61"/>
      <c r="H367" s="24"/>
    </row>
    <row r="368">
      <c r="B368" s="8"/>
      <c r="C368" s="61"/>
      <c r="D368" s="61"/>
      <c r="E368" s="61"/>
      <c r="F368" s="61"/>
      <c r="H368" s="24"/>
    </row>
    <row r="369">
      <c r="B369" s="8"/>
      <c r="C369" s="61"/>
      <c r="D369" s="61"/>
      <c r="E369" s="61"/>
      <c r="F369" s="61"/>
      <c r="H369" s="24"/>
    </row>
    <row r="370">
      <c r="B370" s="8"/>
      <c r="C370" s="61"/>
      <c r="D370" s="61"/>
      <c r="E370" s="61"/>
      <c r="F370" s="61"/>
      <c r="H370" s="24"/>
    </row>
    <row r="371">
      <c r="B371" s="8"/>
      <c r="C371" s="61"/>
      <c r="D371" s="61"/>
      <c r="E371" s="61"/>
      <c r="F371" s="61"/>
      <c r="H371" s="24"/>
    </row>
    <row r="372">
      <c r="B372" s="8"/>
      <c r="C372" s="61"/>
      <c r="D372" s="61"/>
      <c r="E372" s="61"/>
      <c r="F372" s="61"/>
      <c r="H372" s="24"/>
    </row>
    <row r="373">
      <c r="B373" s="8"/>
      <c r="C373" s="61"/>
      <c r="D373" s="61"/>
      <c r="E373" s="61"/>
      <c r="F373" s="61"/>
      <c r="H373" s="24"/>
    </row>
    <row r="374">
      <c r="B374" s="8"/>
      <c r="C374" s="61"/>
      <c r="D374" s="61"/>
      <c r="E374" s="61"/>
      <c r="F374" s="61"/>
      <c r="H374" s="24"/>
    </row>
    <row r="375">
      <c r="B375" s="8"/>
      <c r="C375" s="61"/>
      <c r="D375" s="61"/>
      <c r="E375" s="61"/>
      <c r="F375" s="61"/>
      <c r="H375" s="24"/>
    </row>
    <row r="376">
      <c r="B376" s="8"/>
      <c r="C376" s="61"/>
      <c r="D376" s="61"/>
      <c r="E376" s="61"/>
      <c r="F376" s="61"/>
      <c r="H376" s="24"/>
    </row>
    <row r="377">
      <c r="B377" s="8"/>
      <c r="C377" s="61"/>
      <c r="D377" s="61"/>
      <c r="E377" s="61"/>
      <c r="F377" s="61"/>
      <c r="H377" s="24"/>
    </row>
    <row r="378">
      <c r="B378" s="8"/>
      <c r="C378" s="61"/>
      <c r="D378" s="61"/>
      <c r="E378" s="61"/>
      <c r="F378" s="61"/>
      <c r="H378" s="24"/>
    </row>
    <row r="379">
      <c r="B379" s="8"/>
      <c r="C379" s="61"/>
      <c r="D379" s="61"/>
      <c r="E379" s="61"/>
      <c r="F379" s="61"/>
      <c r="H379" s="24"/>
    </row>
    <row r="380">
      <c r="B380" s="8"/>
      <c r="C380" s="61"/>
      <c r="D380" s="61"/>
      <c r="E380" s="61"/>
      <c r="F380" s="61"/>
      <c r="H380" s="24"/>
    </row>
    <row r="381">
      <c r="B381" s="8"/>
      <c r="C381" s="61"/>
      <c r="D381" s="61"/>
      <c r="E381" s="61"/>
      <c r="F381" s="61"/>
      <c r="H381" s="24"/>
    </row>
    <row r="382">
      <c r="B382" s="8"/>
      <c r="C382" s="61"/>
      <c r="D382" s="61"/>
      <c r="E382" s="61"/>
      <c r="F382" s="61"/>
      <c r="H382" s="24"/>
    </row>
    <row r="383">
      <c r="B383" s="8"/>
      <c r="C383" s="61"/>
      <c r="D383" s="61"/>
      <c r="E383" s="61"/>
      <c r="F383" s="61"/>
      <c r="H383" s="24"/>
    </row>
    <row r="384">
      <c r="B384" s="8"/>
      <c r="C384" s="61"/>
      <c r="D384" s="61"/>
      <c r="E384" s="61"/>
      <c r="F384" s="61"/>
      <c r="H384" s="24"/>
    </row>
    <row r="385">
      <c r="B385" s="8"/>
      <c r="C385" s="61"/>
      <c r="D385" s="61"/>
      <c r="E385" s="61"/>
      <c r="F385" s="61"/>
      <c r="H385" s="24"/>
    </row>
    <row r="386">
      <c r="B386" s="8"/>
      <c r="C386" s="61"/>
      <c r="D386" s="61"/>
      <c r="E386" s="61"/>
      <c r="F386" s="61"/>
      <c r="H386" s="24"/>
    </row>
    <row r="387">
      <c r="B387" s="8"/>
      <c r="C387" s="61"/>
      <c r="D387" s="61"/>
      <c r="E387" s="61"/>
      <c r="F387" s="61"/>
      <c r="H387" s="24"/>
    </row>
    <row r="388">
      <c r="B388" s="8"/>
      <c r="C388" s="61"/>
      <c r="D388" s="61"/>
      <c r="E388" s="61"/>
      <c r="F388" s="61"/>
      <c r="H388" s="24"/>
    </row>
    <row r="389">
      <c r="B389" s="8"/>
      <c r="C389" s="61"/>
      <c r="D389" s="61"/>
      <c r="E389" s="61"/>
      <c r="F389" s="61"/>
      <c r="H389" s="24"/>
    </row>
    <row r="390">
      <c r="B390" s="8"/>
      <c r="C390" s="61"/>
      <c r="D390" s="61"/>
      <c r="E390" s="61"/>
      <c r="F390" s="61"/>
      <c r="H390" s="24"/>
    </row>
    <row r="391">
      <c r="B391" s="8"/>
      <c r="C391" s="61"/>
      <c r="D391" s="61"/>
      <c r="E391" s="61"/>
      <c r="F391" s="61"/>
      <c r="H391" s="24"/>
    </row>
    <row r="392">
      <c r="B392" s="8"/>
      <c r="C392" s="61"/>
      <c r="D392" s="61"/>
      <c r="E392" s="61"/>
      <c r="F392" s="61"/>
      <c r="H392" s="24"/>
    </row>
    <row r="393">
      <c r="B393" s="8"/>
      <c r="C393" s="61"/>
      <c r="D393" s="61"/>
      <c r="E393" s="61"/>
      <c r="F393" s="61"/>
      <c r="H393" s="24"/>
    </row>
    <row r="394">
      <c r="B394" s="8"/>
      <c r="C394" s="61"/>
      <c r="D394" s="61"/>
      <c r="E394" s="61"/>
      <c r="F394" s="61"/>
      <c r="H394" s="24"/>
    </row>
    <row r="395">
      <c r="B395" s="8"/>
      <c r="C395" s="61"/>
      <c r="D395" s="61"/>
      <c r="E395" s="61"/>
      <c r="F395" s="61"/>
      <c r="H395" s="24"/>
    </row>
    <row r="396">
      <c r="B396" s="8"/>
      <c r="C396" s="61"/>
      <c r="D396" s="61"/>
      <c r="E396" s="61"/>
      <c r="F396" s="61"/>
      <c r="H396" s="24"/>
    </row>
    <row r="397">
      <c r="B397" s="8"/>
      <c r="C397" s="61"/>
      <c r="D397" s="61"/>
      <c r="E397" s="61"/>
      <c r="F397" s="61"/>
      <c r="H397" s="24"/>
    </row>
    <row r="398">
      <c r="B398" s="8"/>
      <c r="C398" s="61"/>
      <c r="D398" s="61"/>
      <c r="E398" s="61"/>
      <c r="F398" s="61"/>
      <c r="H398" s="24"/>
    </row>
    <row r="399">
      <c r="B399" s="8"/>
      <c r="C399" s="61"/>
      <c r="D399" s="61"/>
      <c r="E399" s="61"/>
      <c r="F399" s="61"/>
      <c r="H399" s="24"/>
    </row>
    <row r="400">
      <c r="B400" s="8"/>
      <c r="C400" s="61"/>
      <c r="D400" s="61"/>
      <c r="E400" s="61"/>
      <c r="F400" s="61"/>
      <c r="H400" s="24"/>
    </row>
    <row r="401">
      <c r="B401" s="8"/>
      <c r="C401" s="61"/>
      <c r="D401" s="61"/>
      <c r="E401" s="61"/>
      <c r="F401" s="61"/>
      <c r="H401" s="24"/>
    </row>
    <row r="402">
      <c r="B402" s="8"/>
      <c r="C402" s="61"/>
      <c r="D402" s="61"/>
      <c r="E402" s="61"/>
      <c r="F402" s="61"/>
      <c r="H402" s="24"/>
    </row>
    <row r="403">
      <c r="B403" s="8"/>
      <c r="C403" s="61"/>
      <c r="D403" s="61"/>
      <c r="E403" s="61"/>
      <c r="F403" s="61"/>
      <c r="H403" s="24"/>
    </row>
    <row r="404">
      <c r="B404" s="8"/>
      <c r="C404" s="61"/>
      <c r="D404" s="61"/>
      <c r="E404" s="61"/>
      <c r="F404" s="61"/>
      <c r="H404" s="24"/>
    </row>
    <row r="405">
      <c r="B405" s="8"/>
      <c r="C405" s="61"/>
      <c r="D405" s="61"/>
      <c r="E405" s="61"/>
      <c r="F405" s="61"/>
      <c r="H405" s="24"/>
    </row>
    <row r="406">
      <c r="B406" s="8"/>
      <c r="C406" s="61"/>
      <c r="D406" s="61"/>
      <c r="E406" s="61"/>
      <c r="F406" s="61"/>
      <c r="H406" s="24"/>
    </row>
    <row r="407">
      <c r="B407" s="8"/>
      <c r="C407" s="61"/>
      <c r="D407" s="61"/>
      <c r="E407" s="61"/>
      <c r="F407" s="61"/>
      <c r="H407" s="24"/>
    </row>
    <row r="408">
      <c r="B408" s="8"/>
      <c r="C408" s="61"/>
      <c r="D408" s="61"/>
      <c r="E408" s="61"/>
      <c r="F408" s="61"/>
      <c r="H408" s="24"/>
    </row>
    <row r="409">
      <c r="B409" s="8"/>
      <c r="C409" s="61"/>
      <c r="D409" s="61"/>
      <c r="E409" s="61"/>
      <c r="F409" s="61"/>
      <c r="H409" s="24"/>
    </row>
    <row r="410">
      <c r="B410" s="8"/>
      <c r="C410" s="61"/>
      <c r="D410" s="61"/>
      <c r="E410" s="61"/>
      <c r="F410" s="61"/>
      <c r="H410" s="24"/>
    </row>
    <row r="411">
      <c r="B411" s="8"/>
      <c r="C411" s="61"/>
      <c r="D411" s="61"/>
      <c r="E411" s="61"/>
      <c r="F411" s="61"/>
      <c r="H411" s="24"/>
    </row>
    <row r="412">
      <c r="B412" s="8"/>
      <c r="C412" s="61"/>
      <c r="D412" s="61"/>
      <c r="E412" s="61"/>
      <c r="F412" s="61"/>
      <c r="H412" s="24"/>
    </row>
    <row r="413">
      <c r="B413" s="8"/>
      <c r="C413" s="61"/>
      <c r="D413" s="61"/>
      <c r="E413" s="61"/>
      <c r="F413" s="61"/>
      <c r="H413" s="24"/>
    </row>
    <row r="414">
      <c r="B414" s="8"/>
      <c r="C414" s="61"/>
      <c r="D414" s="61"/>
      <c r="E414" s="61"/>
      <c r="F414" s="61"/>
      <c r="H414" s="24"/>
    </row>
    <row r="415">
      <c r="B415" s="8"/>
      <c r="C415" s="61"/>
      <c r="D415" s="61"/>
      <c r="E415" s="61"/>
      <c r="F415" s="61"/>
      <c r="H415" s="24"/>
    </row>
    <row r="416">
      <c r="B416" s="8"/>
      <c r="C416" s="61"/>
      <c r="D416" s="61"/>
      <c r="E416" s="61"/>
      <c r="F416" s="61"/>
      <c r="H416" s="24"/>
    </row>
    <row r="417">
      <c r="B417" s="8"/>
      <c r="C417" s="61"/>
      <c r="D417" s="61"/>
      <c r="E417" s="61"/>
      <c r="F417" s="61"/>
      <c r="H417" s="24"/>
    </row>
    <row r="418">
      <c r="B418" s="8"/>
      <c r="C418" s="61"/>
      <c r="D418" s="61"/>
      <c r="E418" s="61"/>
      <c r="F418" s="61"/>
      <c r="H418" s="24"/>
    </row>
    <row r="419">
      <c r="B419" s="8"/>
      <c r="C419" s="61"/>
      <c r="D419" s="61"/>
      <c r="E419" s="61"/>
      <c r="F419" s="61"/>
      <c r="H419" s="24"/>
    </row>
    <row r="420">
      <c r="B420" s="8"/>
      <c r="C420" s="61"/>
      <c r="D420" s="61"/>
      <c r="E420" s="61"/>
      <c r="F420" s="61"/>
      <c r="H420" s="24"/>
    </row>
    <row r="421">
      <c r="B421" s="8"/>
      <c r="C421" s="61"/>
      <c r="D421" s="61"/>
      <c r="E421" s="61"/>
      <c r="F421" s="61"/>
      <c r="H421" s="24"/>
    </row>
    <row r="422">
      <c r="B422" s="8"/>
      <c r="C422" s="61"/>
      <c r="D422" s="61"/>
      <c r="E422" s="61"/>
      <c r="F422" s="61"/>
      <c r="H422" s="24"/>
    </row>
    <row r="423">
      <c r="B423" s="8"/>
      <c r="C423" s="61"/>
      <c r="D423" s="61"/>
      <c r="E423" s="61"/>
      <c r="F423" s="61"/>
      <c r="H423" s="24"/>
    </row>
    <row r="424">
      <c r="B424" s="8"/>
      <c r="C424" s="61"/>
      <c r="D424" s="61"/>
      <c r="E424" s="61"/>
      <c r="F424" s="61"/>
      <c r="H424" s="24"/>
    </row>
    <row r="425">
      <c r="B425" s="8"/>
      <c r="C425" s="61"/>
      <c r="D425" s="61"/>
      <c r="E425" s="61"/>
      <c r="F425" s="61"/>
      <c r="H425" s="24"/>
    </row>
    <row r="426">
      <c r="B426" s="8"/>
      <c r="C426" s="61"/>
      <c r="D426" s="61"/>
      <c r="E426" s="61"/>
      <c r="F426" s="61"/>
      <c r="H426" s="24"/>
    </row>
    <row r="427">
      <c r="B427" s="8"/>
      <c r="C427" s="61"/>
      <c r="D427" s="61"/>
      <c r="E427" s="61"/>
      <c r="F427" s="61"/>
      <c r="H427" s="24"/>
    </row>
    <row r="428">
      <c r="B428" s="8"/>
      <c r="C428" s="61"/>
      <c r="D428" s="61"/>
      <c r="E428" s="61"/>
      <c r="F428" s="61"/>
      <c r="H428" s="24"/>
    </row>
    <row r="429">
      <c r="B429" s="8"/>
      <c r="C429" s="61"/>
      <c r="D429" s="61"/>
      <c r="E429" s="61"/>
      <c r="F429" s="61"/>
      <c r="H429" s="24"/>
    </row>
    <row r="430">
      <c r="B430" s="8"/>
      <c r="C430" s="61"/>
      <c r="D430" s="61"/>
      <c r="E430" s="61"/>
      <c r="F430" s="61"/>
      <c r="H430" s="24"/>
    </row>
    <row r="431">
      <c r="B431" s="8"/>
      <c r="C431" s="61"/>
      <c r="D431" s="61"/>
      <c r="E431" s="61"/>
      <c r="F431" s="61"/>
      <c r="H431" s="24"/>
    </row>
    <row r="432">
      <c r="B432" s="8"/>
      <c r="C432" s="61"/>
      <c r="D432" s="61"/>
      <c r="E432" s="61"/>
      <c r="F432" s="61"/>
      <c r="H432" s="24"/>
    </row>
    <row r="433">
      <c r="B433" s="8"/>
      <c r="C433" s="61"/>
      <c r="D433" s="61"/>
      <c r="E433" s="61"/>
      <c r="F433" s="61"/>
      <c r="H433" s="24"/>
    </row>
    <row r="434">
      <c r="B434" s="8"/>
      <c r="C434" s="61"/>
      <c r="D434" s="61"/>
      <c r="E434" s="61"/>
      <c r="F434" s="61"/>
      <c r="H434" s="24"/>
    </row>
    <row r="435">
      <c r="B435" s="8"/>
      <c r="C435" s="61"/>
      <c r="D435" s="61"/>
      <c r="E435" s="61"/>
      <c r="F435" s="61"/>
      <c r="H435" s="24"/>
    </row>
    <row r="436">
      <c r="B436" s="8"/>
      <c r="C436" s="61"/>
      <c r="D436" s="61"/>
      <c r="E436" s="61"/>
      <c r="F436" s="61"/>
      <c r="H436" s="24"/>
    </row>
    <row r="437">
      <c r="B437" s="8"/>
      <c r="C437" s="61"/>
      <c r="D437" s="61"/>
      <c r="E437" s="61"/>
      <c r="F437" s="61"/>
      <c r="H437" s="24"/>
    </row>
    <row r="438">
      <c r="B438" s="8"/>
      <c r="C438" s="61"/>
      <c r="D438" s="61"/>
      <c r="E438" s="61"/>
      <c r="F438" s="61"/>
      <c r="H438" s="24"/>
    </row>
    <row r="439">
      <c r="B439" s="8"/>
      <c r="C439" s="61"/>
      <c r="D439" s="61"/>
      <c r="E439" s="61"/>
      <c r="F439" s="61"/>
      <c r="H439" s="24"/>
    </row>
    <row r="440">
      <c r="B440" s="8"/>
      <c r="C440" s="61"/>
      <c r="D440" s="61"/>
      <c r="E440" s="61"/>
      <c r="F440" s="61"/>
      <c r="H440" s="24"/>
    </row>
    <row r="441">
      <c r="B441" s="8"/>
      <c r="C441" s="61"/>
      <c r="D441" s="61"/>
      <c r="E441" s="61"/>
      <c r="F441" s="61"/>
      <c r="H441" s="24"/>
    </row>
    <row r="442">
      <c r="B442" s="8"/>
      <c r="C442" s="61"/>
      <c r="D442" s="61"/>
      <c r="E442" s="61"/>
      <c r="F442" s="61"/>
      <c r="H442" s="24"/>
    </row>
    <row r="443">
      <c r="B443" s="8"/>
      <c r="C443" s="61"/>
      <c r="D443" s="61"/>
      <c r="E443" s="61"/>
      <c r="F443" s="61"/>
      <c r="H443" s="24"/>
    </row>
    <row r="444">
      <c r="B444" s="8"/>
      <c r="C444" s="61"/>
      <c r="D444" s="61"/>
      <c r="E444" s="61"/>
      <c r="F444" s="61"/>
      <c r="H444" s="24"/>
    </row>
    <row r="445">
      <c r="B445" s="8"/>
      <c r="C445" s="61"/>
      <c r="D445" s="61"/>
      <c r="E445" s="61"/>
      <c r="F445" s="61"/>
      <c r="H445" s="24"/>
    </row>
    <row r="446">
      <c r="B446" s="8"/>
      <c r="C446" s="61"/>
      <c r="D446" s="61"/>
      <c r="E446" s="61"/>
      <c r="F446" s="61"/>
      <c r="H446" s="24"/>
    </row>
    <row r="447">
      <c r="B447" s="8"/>
      <c r="C447" s="61"/>
      <c r="D447" s="61"/>
      <c r="E447" s="61"/>
      <c r="F447" s="61"/>
      <c r="H447" s="24"/>
    </row>
    <row r="448">
      <c r="B448" s="8"/>
      <c r="C448" s="61"/>
      <c r="D448" s="61"/>
      <c r="E448" s="61"/>
      <c r="F448" s="61"/>
      <c r="H448" s="24"/>
    </row>
    <row r="449">
      <c r="B449" s="8"/>
      <c r="C449" s="61"/>
      <c r="D449" s="61"/>
      <c r="E449" s="61"/>
      <c r="F449" s="61"/>
      <c r="H449" s="24"/>
    </row>
    <row r="450">
      <c r="B450" s="8"/>
      <c r="C450" s="61"/>
      <c r="D450" s="61"/>
      <c r="E450" s="61"/>
      <c r="F450" s="61"/>
      <c r="H450" s="24"/>
    </row>
    <row r="451">
      <c r="B451" s="8"/>
      <c r="C451" s="61"/>
      <c r="D451" s="61"/>
      <c r="E451" s="61"/>
      <c r="F451" s="61"/>
      <c r="H451" s="24"/>
    </row>
    <row r="452">
      <c r="B452" s="8"/>
      <c r="C452" s="61"/>
      <c r="D452" s="61"/>
      <c r="E452" s="61"/>
      <c r="F452" s="61"/>
      <c r="H452" s="24"/>
    </row>
    <row r="453">
      <c r="B453" s="8"/>
      <c r="C453" s="61"/>
      <c r="D453" s="61"/>
      <c r="E453" s="61"/>
      <c r="F453" s="61"/>
      <c r="H453" s="24"/>
    </row>
    <row r="454">
      <c r="B454" s="8"/>
      <c r="C454" s="61"/>
      <c r="D454" s="61"/>
      <c r="E454" s="61"/>
      <c r="F454" s="61"/>
      <c r="H454" s="24"/>
    </row>
    <row r="455">
      <c r="B455" s="8"/>
      <c r="C455" s="61"/>
      <c r="D455" s="61"/>
      <c r="E455" s="61"/>
      <c r="F455" s="61"/>
      <c r="H455" s="24"/>
    </row>
    <row r="456">
      <c r="B456" s="8"/>
      <c r="C456" s="61"/>
      <c r="D456" s="61"/>
      <c r="E456" s="61"/>
      <c r="F456" s="61"/>
      <c r="H456" s="24"/>
    </row>
    <row r="457">
      <c r="B457" s="8"/>
      <c r="C457" s="61"/>
      <c r="D457" s="61"/>
      <c r="E457" s="61"/>
      <c r="F457" s="61"/>
      <c r="H457" s="24"/>
    </row>
    <row r="458">
      <c r="B458" s="8"/>
      <c r="C458" s="61"/>
      <c r="D458" s="61"/>
      <c r="E458" s="61"/>
      <c r="F458" s="61"/>
      <c r="H458" s="24"/>
    </row>
    <row r="459">
      <c r="B459" s="8"/>
      <c r="C459" s="61"/>
      <c r="D459" s="61"/>
      <c r="E459" s="61"/>
      <c r="F459" s="61"/>
      <c r="H459" s="24"/>
    </row>
    <row r="460">
      <c r="B460" s="8"/>
      <c r="C460" s="61"/>
      <c r="D460" s="61"/>
      <c r="E460" s="61"/>
      <c r="F460" s="61"/>
      <c r="H460" s="24"/>
    </row>
    <row r="461">
      <c r="B461" s="8"/>
      <c r="C461" s="61"/>
      <c r="D461" s="61"/>
      <c r="E461" s="61"/>
      <c r="F461" s="61"/>
      <c r="H461" s="24"/>
    </row>
    <row r="462">
      <c r="B462" s="8"/>
      <c r="C462" s="61"/>
      <c r="D462" s="61"/>
      <c r="E462" s="61"/>
      <c r="F462" s="61"/>
      <c r="H462" s="24"/>
    </row>
    <row r="463">
      <c r="B463" s="8"/>
      <c r="C463" s="61"/>
      <c r="D463" s="61"/>
      <c r="E463" s="61"/>
      <c r="F463" s="61"/>
      <c r="H463" s="24"/>
    </row>
    <row r="464">
      <c r="B464" s="8"/>
      <c r="C464" s="61"/>
      <c r="D464" s="61"/>
      <c r="E464" s="61"/>
      <c r="F464" s="61"/>
      <c r="H464" s="24"/>
    </row>
    <row r="465">
      <c r="B465" s="8"/>
      <c r="C465" s="61"/>
      <c r="D465" s="61"/>
      <c r="E465" s="61"/>
      <c r="F465" s="61"/>
      <c r="H465" s="24"/>
    </row>
    <row r="466">
      <c r="B466" s="8"/>
      <c r="C466" s="61"/>
      <c r="D466" s="61"/>
      <c r="E466" s="61"/>
      <c r="F466" s="61"/>
      <c r="H466" s="24"/>
    </row>
    <row r="467">
      <c r="B467" s="8"/>
      <c r="C467" s="61"/>
      <c r="D467" s="61"/>
      <c r="E467" s="61"/>
      <c r="F467" s="61"/>
      <c r="H467" s="24"/>
    </row>
    <row r="468">
      <c r="B468" s="8"/>
      <c r="C468" s="61"/>
      <c r="D468" s="61"/>
      <c r="E468" s="61"/>
      <c r="F468" s="61"/>
      <c r="H468" s="24"/>
    </row>
    <row r="469">
      <c r="B469" s="8"/>
      <c r="C469" s="61"/>
      <c r="D469" s="61"/>
      <c r="E469" s="61"/>
      <c r="F469" s="61"/>
      <c r="H469" s="24"/>
    </row>
    <row r="470">
      <c r="B470" s="8"/>
      <c r="C470" s="61"/>
      <c r="D470" s="61"/>
      <c r="E470" s="61"/>
      <c r="F470" s="61"/>
      <c r="H470" s="24"/>
    </row>
    <row r="471">
      <c r="B471" s="8"/>
      <c r="C471" s="61"/>
      <c r="D471" s="61"/>
      <c r="E471" s="61"/>
      <c r="F471" s="61"/>
      <c r="H471" s="24"/>
    </row>
    <row r="472">
      <c r="B472" s="8"/>
      <c r="C472" s="61"/>
      <c r="D472" s="61"/>
      <c r="E472" s="61"/>
      <c r="F472" s="61"/>
      <c r="H472" s="24"/>
    </row>
    <row r="473">
      <c r="B473" s="8"/>
      <c r="C473" s="61"/>
      <c r="D473" s="61"/>
      <c r="E473" s="61"/>
      <c r="F473" s="61"/>
      <c r="H473" s="24"/>
    </row>
    <row r="474">
      <c r="B474" s="8"/>
      <c r="C474" s="61"/>
      <c r="D474" s="61"/>
      <c r="E474" s="61"/>
      <c r="F474" s="61"/>
      <c r="H474" s="24"/>
    </row>
    <row r="475">
      <c r="B475" s="8"/>
      <c r="C475" s="61"/>
      <c r="D475" s="61"/>
      <c r="E475" s="61"/>
      <c r="F475" s="61"/>
      <c r="H475" s="24"/>
    </row>
    <row r="476">
      <c r="B476" s="8"/>
      <c r="C476" s="61"/>
      <c r="D476" s="61"/>
      <c r="E476" s="61"/>
      <c r="F476" s="61"/>
      <c r="H476" s="24"/>
    </row>
    <row r="477">
      <c r="B477" s="8"/>
      <c r="C477" s="61"/>
      <c r="D477" s="61"/>
      <c r="E477" s="61"/>
      <c r="F477" s="61"/>
      <c r="H477" s="24"/>
    </row>
    <row r="478">
      <c r="B478" s="8"/>
      <c r="C478" s="61"/>
      <c r="D478" s="61"/>
      <c r="E478" s="61"/>
      <c r="F478" s="61"/>
      <c r="H478" s="24"/>
    </row>
    <row r="479">
      <c r="B479" s="8"/>
      <c r="C479" s="61"/>
      <c r="D479" s="61"/>
      <c r="E479" s="61"/>
      <c r="F479" s="61"/>
      <c r="H479" s="24"/>
    </row>
    <row r="480">
      <c r="B480" s="8"/>
      <c r="C480" s="61"/>
      <c r="D480" s="61"/>
      <c r="E480" s="61"/>
      <c r="F480" s="61"/>
      <c r="H480" s="24"/>
    </row>
    <row r="481">
      <c r="B481" s="8"/>
      <c r="C481" s="61"/>
      <c r="D481" s="61"/>
      <c r="E481" s="61"/>
      <c r="F481" s="61"/>
      <c r="H481" s="24"/>
    </row>
    <row r="482">
      <c r="B482" s="8"/>
      <c r="C482" s="61"/>
      <c r="D482" s="61"/>
      <c r="E482" s="61"/>
      <c r="F482" s="61"/>
      <c r="H482" s="24"/>
    </row>
    <row r="483">
      <c r="B483" s="8"/>
      <c r="C483" s="61"/>
      <c r="D483" s="61"/>
      <c r="E483" s="61"/>
      <c r="F483" s="61"/>
      <c r="H483" s="24"/>
    </row>
    <row r="484">
      <c r="B484" s="8"/>
      <c r="C484" s="61"/>
      <c r="D484" s="61"/>
      <c r="E484" s="61"/>
      <c r="F484" s="61"/>
      <c r="H484" s="24"/>
    </row>
    <row r="485">
      <c r="B485" s="8"/>
      <c r="C485" s="61"/>
      <c r="D485" s="61"/>
      <c r="E485" s="61"/>
      <c r="F485" s="61"/>
      <c r="H485" s="24"/>
    </row>
    <row r="486">
      <c r="B486" s="8"/>
      <c r="C486" s="61"/>
      <c r="D486" s="61"/>
      <c r="E486" s="61"/>
      <c r="F486" s="61"/>
      <c r="H486" s="24"/>
    </row>
    <row r="487">
      <c r="B487" s="8"/>
      <c r="C487" s="61"/>
      <c r="D487" s="61"/>
      <c r="E487" s="61"/>
      <c r="F487" s="61"/>
      <c r="H487" s="24"/>
    </row>
    <row r="488">
      <c r="B488" s="8"/>
      <c r="C488" s="61"/>
      <c r="D488" s="61"/>
      <c r="E488" s="61"/>
      <c r="F488" s="61"/>
      <c r="H488" s="24"/>
    </row>
    <row r="489">
      <c r="B489" s="8"/>
      <c r="C489" s="61"/>
      <c r="D489" s="61"/>
      <c r="E489" s="61"/>
      <c r="F489" s="61"/>
      <c r="H489" s="24"/>
    </row>
    <row r="490">
      <c r="B490" s="8"/>
      <c r="C490" s="61"/>
      <c r="D490" s="61"/>
      <c r="E490" s="61"/>
      <c r="F490" s="61"/>
      <c r="H490" s="24"/>
    </row>
    <row r="491">
      <c r="B491" s="8"/>
      <c r="C491" s="61"/>
      <c r="D491" s="61"/>
      <c r="E491" s="61"/>
      <c r="F491" s="61"/>
      <c r="H491" s="24"/>
    </row>
    <row r="492">
      <c r="B492" s="8"/>
      <c r="C492" s="61"/>
      <c r="D492" s="61"/>
      <c r="E492" s="61"/>
      <c r="F492" s="61"/>
      <c r="H492" s="24"/>
    </row>
    <row r="493">
      <c r="B493" s="8"/>
      <c r="C493" s="61"/>
      <c r="D493" s="61"/>
      <c r="E493" s="61"/>
      <c r="F493" s="61"/>
      <c r="H493" s="24"/>
    </row>
    <row r="494">
      <c r="B494" s="8"/>
      <c r="C494" s="61"/>
      <c r="D494" s="61"/>
      <c r="E494" s="61"/>
      <c r="F494" s="61"/>
      <c r="H494" s="24"/>
    </row>
    <row r="495">
      <c r="B495" s="8"/>
      <c r="C495" s="61"/>
      <c r="D495" s="61"/>
      <c r="E495" s="61"/>
      <c r="F495" s="61"/>
      <c r="H495" s="24"/>
    </row>
    <row r="496">
      <c r="B496" s="8"/>
      <c r="C496" s="61"/>
      <c r="D496" s="61"/>
      <c r="E496" s="61"/>
      <c r="F496" s="61"/>
      <c r="H496" s="24"/>
    </row>
    <row r="497">
      <c r="B497" s="8"/>
      <c r="C497" s="61"/>
      <c r="D497" s="61"/>
      <c r="E497" s="61"/>
      <c r="F497" s="61"/>
      <c r="H497" s="24"/>
    </row>
    <row r="498">
      <c r="B498" s="8"/>
      <c r="C498" s="61"/>
      <c r="D498" s="61"/>
      <c r="E498" s="61"/>
      <c r="F498" s="61"/>
      <c r="H498" s="24"/>
    </row>
    <row r="499">
      <c r="B499" s="8"/>
      <c r="C499" s="61"/>
      <c r="D499" s="61"/>
      <c r="E499" s="61"/>
      <c r="F499" s="61"/>
      <c r="H499" s="24"/>
    </row>
    <row r="500">
      <c r="B500" s="8"/>
      <c r="C500" s="61"/>
      <c r="D500" s="61"/>
      <c r="E500" s="61"/>
      <c r="F500" s="61"/>
      <c r="H500" s="24"/>
    </row>
    <row r="501">
      <c r="B501" s="8"/>
      <c r="C501" s="61"/>
      <c r="D501" s="61"/>
      <c r="E501" s="61"/>
      <c r="F501" s="61"/>
      <c r="H501" s="24"/>
    </row>
    <row r="502">
      <c r="B502" s="8"/>
      <c r="C502" s="61"/>
      <c r="D502" s="61"/>
      <c r="E502" s="61"/>
      <c r="F502" s="61"/>
      <c r="H502" s="24"/>
    </row>
    <row r="503">
      <c r="B503" s="8"/>
      <c r="C503" s="61"/>
      <c r="D503" s="61"/>
      <c r="E503" s="61"/>
      <c r="F503" s="61"/>
      <c r="H503" s="24"/>
    </row>
    <row r="504">
      <c r="B504" s="8"/>
      <c r="C504" s="61"/>
      <c r="D504" s="61"/>
      <c r="E504" s="61"/>
      <c r="F504" s="61"/>
      <c r="H504" s="24"/>
    </row>
    <row r="505">
      <c r="B505" s="8"/>
      <c r="C505" s="61"/>
      <c r="D505" s="61"/>
      <c r="E505" s="61"/>
      <c r="F505" s="61"/>
      <c r="H505" s="24"/>
    </row>
    <row r="506">
      <c r="B506" s="8"/>
      <c r="C506" s="61"/>
      <c r="D506" s="61"/>
      <c r="E506" s="61"/>
      <c r="F506" s="61"/>
      <c r="H506" s="24"/>
    </row>
    <row r="507">
      <c r="B507" s="8"/>
      <c r="C507" s="61"/>
      <c r="D507" s="61"/>
      <c r="E507" s="61"/>
      <c r="F507" s="61"/>
      <c r="H507" s="24"/>
    </row>
    <row r="508">
      <c r="B508" s="8"/>
      <c r="C508" s="61"/>
      <c r="D508" s="61"/>
      <c r="E508" s="61"/>
      <c r="F508" s="61"/>
      <c r="H508" s="24"/>
    </row>
    <row r="509">
      <c r="B509" s="8"/>
      <c r="C509" s="61"/>
      <c r="D509" s="61"/>
      <c r="E509" s="61"/>
      <c r="F509" s="61"/>
      <c r="H509" s="24"/>
    </row>
    <row r="510">
      <c r="B510" s="8"/>
      <c r="C510" s="61"/>
      <c r="D510" s="61"/>
      <c r="E510" s="61"/>
      <c r="F510" s="61"/>
      <c r="H510" s="24"/>
    </row>
    <row r="511">
      <c r="B511" s="8"/>
      <c r="C511" s="61"/>
      <c r="D511" s="61"/>
      <c r="E511" s="61"/>
      <c r="F511" s="61"/>
      <c r="H511" s="24"/>
    </row>
    <row r="512">
      <c r="B512" s="8"/>
      <c r="C512" s="61"/>
      <c r="D512" s="61"/>
      <c r="E512" s="61"/>
      <c r="F512" s="61"/>
      <c r="H512" s="24"/>
    </row>
    <row r="513">
      <c r="B513" s="8"/>
      <c r="C513" s="61"/>
      <c r="D513" s="61"/>
      <c r="E513" s="61"/>
      <c r="F513" s="61"/>
      <c r="H513" s="24"/>
    </row>
    <row r="514">
      <c r="B514" s="8"/>
      <c r="C514" s="61"/>
      <c r="D514" s="61"/>
      <c r="E514" s="61"/>
      <c r="F514" s="61"/>
      <c r="H514" s="24"/>
    </row>
    <row r="515">
      <c r="B515" s="8"/>
      <c r="C515" s="61"/>
      <c r="D515" s="61"/>
      <c r="E515" s="61"/>
      <c r="F515" s="61"/>
      <c r="H515" s="24"/>
    </row>
    <row r="516">
      <c r="B516" s="8"/>
      <c r="C516" s="61"/>
      <c r="D516" s="61"/>
      <c r="E516" s="61"/>
      <c r="F516" s="61"/>
      <c r="H516" s="24"/>
    </row>
    <row r="517">
      <c r="B517" s="8"/>
      <c r="C517" s="61"/>
      <c r="D517" s="61"/>
      <c r="E517" s="61"/>
      <c r="F517" s="61"/>
      <c r="H517" s="24"/>
    </row>
    <row r="518">
      <c r="B518" s="8"/>
      <c r="C518" s="61"/>
      <c r="D518" s="61"/>
      <c r="E518" s="61"/>
      <c r="F518" s="61"/>
      <c r="H518" s="24"/>
    </row>
    <row r="519">
      <c r="B519" s="8"/>
      <c r="C519" s="61"/>
      <c r="D519" s="61"/>
      <c r="E519" s="61"/>
      <c r="F519" s="61"/>
      <c r="H519" s="24"/>
    </row>
    <row r="520">
      <c r="B520" s="8"/>
      <c r="C520" s="61"/>
      <c r="D520" s="61"/>
      <c r="E520" s="61"/>
      <c r="F520" s="61"/>
      <c r="H520" s="24"/>
    </row>
    <row r="521">
      <c r="B521" s="8"/>
      <c r="C521" s="61"/>
      <c r="D521" s="61"/>
      <c r="E521" s="61"/>
      <c r="F521" s="61"/>
      <c r="H521" s="24"/>
    </row>
    <row r="522">
      <c r="B522" s="8"/>
      <c r="C522" s="61"/>
      <c r="D522" s="61"/>
      <c r="E522" s="61"/>
      <c r="F522" s="61"/>
      <c r="H522" s="24"/>
    </row>
    <row r="523">
      <c r="B523" s="8"/>
      <c r="C523" s="61"/>
      <c r="D523" s="61"/>
      <c r="E523" s="61"/>
      <c r="F523" s="61"/>
      <c r="H523" s="24"/>
    </row>
    <row r="524">
      <c r="B524" s="8"/>
      <c r="C524" s="61"/>
      <c r="D524" s="61"/>
      <c r="E524" s="61"/>
      <c r="F524" s="61"/>
      <c r="H524" s="24"/>
    </row>
    <row r="525">
      <c r="B525" s="8"/>
      <c r="C525" s="61"/>
      <c r="D525" s="61"/>
      <c r="E525" s="61"/>
      <c r="F525" s="61"/>
      <c r="H525" s="24"/>
    </row>
    <row r="526">
      <c r="B526" s="8"/>
      <c r="C526" s="61"/>
      <c r="D526" s="61"/>
      <c r="E526" s="61"/>
      <c r="F526" s="61"/>
      <c r="H526" s="24"/>
    </row>
    <row r="527">
      <c r="B527" s="8"/>
      <c r="C527" s="61"/>
      <c r="D527" s="61"/>
      <c r="E527" s="61"/>
      <c r="F527" s="61"/>
      <c r="H527" s="24"/>
    </row>
    <row r="528">
      <c r="B528" s="8"/>
      <c r="C528" s="61"/>
      <c r="D528" s="61"/>
      <c r="E528" s="61"/>
      <c r="F528" s="61"/>
      <c r="H528" s="24"/>
    </row>
    <row r="529">
      <c r="B529" s="8"/>
      <c r="C529" s="61"/>
      <c r="D529" s="61"/>
      <c r="E529" s="61"/>
      <c r="F529" s="61"/>
      <c r="H529" s="24"/>
    </row>
    <row r="530">
      <c r="B530" s="8"/>
      <c r="C530" s="61"/>
      <c r="D530" s="61"/>
      <c r="E530" s="61"/>
      <c r="F530" s="61"/>
      <c r="H530" s="24"/>
    </row>
    <row r="531">
      <c r="B531" s="8"/>
      <c r="C531" s="61"/>
      <c r="D531" s="61"/>
      <c r="E531" s="61"/>
      <c r="F531" s="61"/>
      <c r="H531" s="24"/>
    </row>
    <row r="532">
      <c r="B532" s="8"/>
      <c r="C532" s="61"/>
      <c r="D532" s="61"/>
      <c r="E532" s="61"/>
      <c r="F532" s="61"/>
      <c r="H532" s="24"/>
    </row>
    <row r="533">
      <c r="B533" s="8"/>
      <c r="C533" s="61"/>
      <c r="D533" s="61"/>
      <c r="E533" s="61"/>
      <c r="F533" s="61"/>
      <c r="H533" s="24"/>
    </row>
    <row r="534">
      <c r="B534" s="8"/>
      <c r="C534" s="61"/>
      <c r="D534" s="61"/>
      <c r="E534" s="61"/>
      <c r="F534" s="61"/>
      <c r="H534" s="24"/>
    </row>
    <row r="535">
      <c r="B535" s="8"/>
      <c r="C535" s="61"/>
      <c r="D535" s="61"/>
      <c r="E535" s="61"/>
      <c r="F535" s="61"/>
      <c r="H535" s="24"/>
    </row>
    <row r="536">
      <c r="B536" s="8"/>
      <c r="C536" s="61"/>
      <c r="D536" s="61"/>
      <c r="E536" s="61"/>
      <c r="F536" s="61"/>
      <c r="H536" s="24"/>
    </row>
    <row r="537">
      <c r="B537" s="8"/>
      <c r="C537" s="61"/>
      <c r="D537" s="61"/>
      <c r="E537" s="61"/>
      <c r="F537" s="61"/>
      <c r="H537" s="24"/>
    </row>
    <row r="538">
      <c r="B538" s="8"/>
      <c r="C538" s="61"/>
      <c r="D538" s="61"/>
      <c r="E538" s="61"/>
      <c r="F538" s="61"/>
      <c r="H538" s="24"/>
    </row>
    <row r="539">
      <c r="B539" s="8"/>
      <c r="C539" s="61"/>
      <c r="D539" s="61"/>
      <c r="E539" s="61"/>
      <c r="F539" s="61"/>
      <c r="H539" s="24"/>
    </row>
    <row r="540">
      <c r="B540" s="8"/>
      <c r="C540" s="61"/>
      <c r="D540" s="61"/>
      <c r="E540" s="61"/>
      <c r="F540" s="61"/>
      <c r="H540" s="24"/>
    </row>
    <row r="541">
      <c r="B541" s="8"/>
      <c r="C541" s="61"/>
      <c r="D541" s="61"/>
      <c r="E541" s="61"/>
      <c r="F541" s="61"/>
      <c r="H541" s="24"/>
    </row>
    <row r="542">
      <c r="B542" s="8"/>
      <c r="C542" s="61"/>
      <c r="D542" s="61"/>
      <c r="E542" s="61"/>
      <c r="F542" s="61"/>
      <c r="H542" s="24"/>
    </row>
    <row r="543">
      <c r="B543" s="8"/>
      <c r="C543" s="61"/>
      <c r="D543" s="61"/>
      <c r="E543" s="61"/>
      <c r="F543" s="61"/>
      <c r="H543" s="24"/>
    </row>
    <row r="544">
      <c r="B544" s="8"/>
      <c r="C544" s="61"/>
      <c r="D544" s="61"/>
      <c r="E544" s="61"/>
      <c r="F544" s="61"/>
      <c r="H544" s="24"/>
    </row>
    <row r="545">
      <c r="B545" s="8"/>
      <c r="C545" s="61"/>
      <c r="D545" s="61"/>
      <c r="E545" s="61"/>
      <c r="F545" s="61"/>
      <c r="H545" s="24"/>
    </row>
    <row r="546">
      <c r="B546" s="8"/>
      <c r="C546" s="61"/>
      <c r="D546" s="61"/>
      <c r="E546" s="61"/>
      <c r="F546" s="61"/>
      <c r="H546" s="24"/>
    </row>
    <row r="547">
      <c r="B547" s="8"/>
      <c r="C547" s="61"/>
      <c r="D547" s="61"/>
      <c r="E547" s="61"/>
      <c r="F547" s="61"/>
      <c r="H547" s="24"/>
    </row>
    <row r="548">
      <c r="B548" s="8"/>
      <c r="C548" s="61"/>
      <c r="D548" s="61"/>
      <c r="E548" s="61"/>
      <c r="F548" s="61"/>
      <c r="H548" s="24"/>
    </row>
    <row r="549">
      <c r="B549" s="8"/>
      <c r="C549" s="61"/>
      <c r="D549" s="61"/>
      <c r="E549" s="61"/>
      <c r="F549" s="61"/>
      <c r="H549" s="24"/>
    </row>
    <row r="550">
      <c r="B550" s="8"/>
      <c r="C550" s="61"/>
      <c r="D550" s="61"/>
      <c r="E550" s="61"/>
      <c r="F550" s="61"/>
      <c r="H550" s="24"/>
    </row>
    <row r="551">
      <c r="B551" s="8"/>
      <c r="C551" s="61"/>
      <c r="D551" s="61"/>
      <c r="E551" s="61"/>
      <c r="F551" s="61"/>
      <c r="H551" s="24"/>
    </row>
    <row r="552">
      <c r="B552" s="8"/>
      <c r="C552" s="61"/>
      <c r="D552" s="61"/>
      <c r="E552" s="61"/>
      <c r="F552" s="61"/>
      <c r="H552" s="24"/>
    </row>
    <row r="553">
      <c r="B553" s="8"/>
      <c r="C553" s="61"/>
      <c r="D553" s="61"/>
      <c r="E553" s="61"/>
      <c r="F553" s="61"/>
      <c r="H553" s="24"/>
    </row>
    <row r="554">
      <c r="B554" s="8"/>
      <c r="C554" s="61"/>
      <c r="D554" s="61"/>
      <c r="E554" s="61"/>
      <c r="F554" s="61"/>
      <c r="H554" s="24"/>
    </row>
    <row r="555">
      <c r="B555" s="8"/>
      <c r="C555" s="61"/>
      <c r="D555" s="61"/>
      <c r="E555" s="61"/>
      <c r="F555" s="61"/>
      <c r="H555" s="24"/>
    </row>
    <row r="556">
      <c r="B556" s="8"/>
      <c r="C556" s="61"/>
      <c r="D556" s="61"/>
      <c r="E556" s="61"/>
      <c r="F556" s="61"/>
      <c r="H556" s="24"/>
    </row>
    <row r="557">
      <c r="B557" s="8"/>
      <c r="C557" s="61"/>
      <c r="D557" s="61"/>
      <c r="E557" s="61"/>
      <c r="F557" s="61"/>
      <c r="H557" s="24"/>
    </row>
    <row r="558">
      <c r="B558" s="8"/>
      <c r="C558" s="61"/>
      <c r="D558" s="61"/>
      <c r="E558" s="61"/>
      <c r="F558" s="61"/>
      <c r="H558" s="24"/>
    </row>
    <row r="559">
      <c r="B559" s="8"/>
      <c r="C559" s="61"/>
      <c r="D559" s="61"/>
      <c r="E559" s="61"/>
      <c r="F559" s="61"/>
      <c r="H559" s="24"/>
    </row>
    <row r="560">
      <c r="B560" s="8"/>
      <c r="C560" s="61"/>
      <c r="D560" s="61"/>
      <c r="E560" s="61"/>
      <c r="F560" s="61"/>
      <c r="H560" s="24"/>
    </row>
    <row r="561">
      <c r="B561" s="8"/>
      <c r="C561" s="61"/>
      <c r="D561" s="61"/>
      <c r="E561" s="61"/>
      <c r="F561" s="61"/>
      <c r="H561" s="24"/>
    </row>
    <row r="562">
      <c r="B562" s="8"/>
      <c r="C562" s="61"/>
      <c r="D562" s="61"/>
      <c r="E562" s="61"/>
      <c r="F562" s="61"/>
      <c r="H562" s="24"/>
    </row>
    <row r="563">
      <c r="B563" s="8"/>
      <c r="C563" s="61"/>
      <c r="D563" s="61"/>
      <c r="E563" s="61"/>
      <c r="F563" s="61"/>
      <c r="H563" s="24"/>
    </row>
    <row r="564">
      <c r="B564" s="8"/>
      <c r="C564" s="61"/>
      <c r="D564" s="61"/>
      <c r="E564" s="61"/>
      <c r="F564" s="61"/>
      <c r="H564" s="24"/>
    </row>
    <row r="565">
      <c r="B565" s="8"/>
      <c r="C565" s="61"/>
      <c r="D565" s="61"/>
      <c r="E565" s="61"/>
      <c r="F565" s="61"/>
      <c r="H565" s="24"/>
    </row>
    <row r="566">
      <c r="B566" s="8"/>
      <c r="C566" s="61"/>
      <c r="D566" s="61"/>
      <c r="E566" s="61"/>
      <c r="F566" s="61"/>
      <c r="H566" s="24"/>
    </row>
    <row r="567">
      <c r="B567" s="8"/>
      <c r="C567" s="61"/>
      <c r="D567" s="61"/>
      <c r="E567" s="61"/>
      <c r="F567" s="61"/>
      <c r="H567" s="24"/>
    </row>
    <row r="568">
      <c r="B568" s="8"/>
      <c r="C568" s="61"/>
      <c r="D568" s="61"/>
      <c r="E568" s="61"/>
      <c r="F568" s="61"/>
      <c r="H568" s="24"/>
    </row>
    <row r="569">
      <c r="B569" s="8"/>
      <c r="C569" s="61"/>
      <c r="D569" s="61"/>
      <c r="E569" s="61"/>
      <c r="F569" s="61"/>
      <c r="H569" s="24"/>
    </row>
    <row r="570">
      <c r="B570" s="8"/>
      <c r="C570" s="61"/>
      <c r="D570" s="61"/>
      <c r="E570" s="61"/>
      <c r="F570" s="61"/>
      <c r="H570" s="24"/>
    </row>
    <row r="571">
      <c r="B571" s="8"/>
      <c r="C571" s="61"/>
      <c r="D571" s="61"/>
      <c r="E571" s="61"/>
      <c r="F571" s="61"/>
      <c r="H571" s="24"/>
    </row>
    <row r="572">
      <c r="B572" s="8"/>
      <c r="C572" s="61"/>
      <c r="D572" s="61"/>
      <c r="E572" s="61"/>
      <c r="F572" s="61"/>
      <c r="H572" s="24"/>
    </row>
    <row r="573">
      <c r="B573" s="8"/>
      <c r="C573" s="61"/>
      <c r="D573" s="61"/>
      <c r="E573" s="61"/>
      <c r="F573" s="61"/>
      <c r="H573" s="24"/>
    </row>
    <row r="574">
      <c r="B574" s="8"/>
      <c r="C574" s="61"/>
      <c r="D574" s="61"/>
      <c r="E574" s="61"/>
      <c r="F574" s="61"/>
      <c r="H574" s="24"/>
    </row>
    <row r="575">
      <c r="B575" s="8"/>
      <c r="C575" s="61"/>
      <c r="D575" s="61"/>
      <c r="E575" s="61"/>
      <c r="F575" s="61"/>
      <c r="H575" s="24"/>
    </row>
    <row r="576">
      <c r="B576" s="8"/>
      <c r="C576" s="61"/>
      <c r="D576" s="61"/>
      <c r="E576" s="61"/>
      <c r="F576" s="61"/>
      <c r="H576" s="24"/>
    </row>
    <row r="577">
      <c r="B577" s="8"/>
      <c r="C577" s="61"/>
      <c r="D577" s="61"/>
      <c r="E577" s="61"/>
      <c r="F577" s="61"/>
      <c r="H577" s="24"/>
    </row>
    <row r="578">
      <c r="B578" s="8"/>
      <c r="C578" s="61"/>
      <c r="D578" s="61"/>
      <c r="E578" s="61"/>
      <c r="F578" s="61"/>
      <c r="H578" s="24"/>
    </row>
    <row r="579">
      <c r="B579" s="8"/>
      <c r="C579" s="61"/>
      <c r="D579" s="61"/>
      <c r="E579" s="61"/>
      <c r="F579" s="61"/>
      <c r="H579" s="24"/>
    </row>
    <row r="580">
      <c r="B580" s="8"/>
      <c r="C580" s="61"/>
      <c r="D580" s="61"/>
      <c r="E580" s="61"/>
      <c r="F580" s="61"/>
      <c r="H580" s="24"/>
    </row>
    <row r="581">
      <c r="B581" s="8"/>
      <c r="C581" s="61"/>
      <c r="D581" s="61"/>
      <c r="E581" s="61"/>
      <c r="F581" s="61"/>
      <c r="H581" s="24"/>
    </row>
    <row r="582">
      <c r="B582" s="8"/>
      <c r="C582" s="61"/>
      <c r="D582" s="61"/>
      <c r="E582" s="61"/>
      <c r="F582" s="61"/>
      <c r="H582" s="24"/>
    </row>
    <row r="583">
      <c r="B583" s="8"/>
      <c r="C583" s="61"/>
      <c r="D583" s="61"/>
      <c r="E583" s="61"/>
      <c r="F583" s="61"/>
      <c r="H583" s="24"/>
    </row>
    <row r="584">
      <c r="B584" s="8"/>
      <c r="C584" s="61"/>
      <c r="D584" s="61"/>
      <c r="E584" s="61"/>
      <c r="F584" s="61"/>
      <c r="H584" s="24"/>
    </row>
    <row r="585">
      <c r="B585" s="8"/>
      <c r="C585" s="61"/>
      <c r="D585" s="61"/>
      <c r="E585" s="61"/>
      <c r="F585" s="61"/>
      <c r="H585" s="24"/>
    </row>
    <row r="586">
      <c r="B586" s="8"/>
      <c r="C586" s="61"/>
      <c r="D586" s="61"/>
      <c r="E586" s="61"/>
      <c r="F586" s="61"/>
      <c r="H586" s="24"/>
    </row>
    <row r="587">
      <c r="B587" s="8"/>
      <c r="C587" s="61"/>
      <c r="D587" s="61"/>
      <c r="E587" s="61"/>
      <c r="F587" s="61"/>
      <c r="H587" s="24"/>
    </row>
    <row r="588">
      <c r="B588" s="8"/>
      <c r="C588" s="61"/>
      <c r="D588" s="61"/>
      <c r="E588" s="61"/>
      <c r="F588" s="61"/>
      <c r="H588" s="24"/>
    </row>
    <row r="589">
      <c r="B589" s="8"/>
      <c r="C589" s="61"/>
      <c r="D589" s="61"/>
      <c r="E589" s="61"/>
      <c r="F589" s="61"/>
      <c r="H589" s="24"/>
    </row>
    <row r="590">
      <c r="B590" s="8"/>
      <c r="C590" s="61"/>
      <c r="D590" s="61"/>
      <c r="E590" s="61"/>
      <c r="F590" s="61"/>
      <c r="H590" s="24"/>
    </row>
    <row r="591">
      <c r="B591" s="8"/>
      <c r="C591" s="61"/>
      <c r="D591" s="61"/>
      <c r="E591" s="61"/>
      <c r="F591" s="61"/>
      <c r="H591" s="24"/>
    </row>
    <row r="592">
      <c r="B592" s="8"/>
      <c r="C592" s="61"/>
      <c r="D592" s="61"/>
      <c r="E592" s="61"/>
      <c r="F592" s="61"/>
      <c r="H592" s="24"/>
    </row>
    <row r="593">
      <c r="B593" s="8"/>
      <c r="C593" s="61"/>
      <c r="D593" s="61"/>
      <c r="E593" s="61"/>
      <c r="F593" s="61"/>
      <c r="H593" s="24"/>
    </row>
    <row r="594">
      <c r="B594" s="8"/>
      <c r="C594" s="61"/>
      <c r="D594" s="61"/>
      <c r="E594" s="61"/>
      <c r="F594" s="61"/>
      <c r="H594" s="24"/>
    </row>
    <row r="595">
      <c r="B595" s="8"/>
      <c r="C595" s="61"/>
      <c r="D595" s="61"/>
      <c r="E595" s="61"/>
      <c r="F595" s="61"/>
      <c r="H595" s="24"/>
    </row>
    <row r="596">
      <c r="B596" s="8"/>
      <c r="C596" s="61"/>
      <c r="D596" s="61"/>
      <c r="E596" s="61"/>
      <c r="F596" s="61"/>
      <c r="H596" s="24"/>
    </row>
    <row r="597">
      <c r="B597" s="8"/>
      <c r="C597" s="61"/>
      <c r="D597" s="61"/>
      <c r="E597" s="61"/>
      <c r="F597" s="61"/>
      <c r="H597" s="24"/>
    </row>
    <row r="598">
      <c r="B598" s="8"/>
      <c r="C598" s="61"/>
      <c r="D598" s="61"/>
      <c r="E598" s="61"/>
      <c r="F598" s="61"/>
      <c r="H598" s="24"/>
    </row>
    <row r="599">
      <c r="B599" s="8"/>
      <c r="C599" s="61"/>
      <c r="D599" s="61"/>
      <c r="E599" s="61"/>
      <c r="F599" s="61"/>
      <c r="H599" s="24"/>
    </row>
    <row r="600">
      <c r="B600" s="8"/>
      <c r="C600" s="61"/>
      <c r="D600" s="61"/>
      <c r="E600" s="61"/>
      <c r="F600" s="61"/>
      <c r="H600" s="24"/>
    </row>
    <row r="601">
      <c r="B601" s="8"/>
      <c r="C601" s="61"/>
      <c r="D601" s="61"/>
      <c r="E601" s="61"/>
      <c r="F601" s="61"/>
      <c r="H601" s="24"/>
    </row>
    <row r="602">
      <c r="B602" s="8"/>
      <c r="C602" s="61"/>
      <c r="D602" s="61"/>
      <c r="E602" s="61"/>
      <c r="F602" s="61"/>
      <c r="H602" s="24"/>
    </row>
    <row r="603">
      <c r="B603" s="8"/>
      <c r="C603" s="61"/>
      <c r="D603" s="61"/>
      <c r="E603" s="61"/>
      <c r="F603" s="61"/>
      <c r="H603" s="24"/>
    </row>
    <row r="604">
      <c r="B604" s="8"/>
      <c r="C604" s="61"/>
      <c r="D604" s="61"/>
      <c r="E604" s="61"/>
      <c r="F604" s="61"/>
      <c r="H604" s="24"/>
    </row>
    <row r="605">
      <c r="B605" s="8"/>
      <c r="C605" s="61"/>
      <c r="D605" s="61"/>
      <c r="E605" s="61"/>
      <c r="F605" s="61"/>
      <c r="H605" s="24"/>
    </row>
    <row r="606">
      <c r="B606" s="8"/>
      <c r="C606" s="61"/>
      <c r="D606" s="61"/>
      <c r="E606" s="61"/>
      <c r="F606" s="61"/>
      <c r="H606" s="24"/>
    </row>
    <row r="607">
      <c r="B607" s="8"/>
      <c r="C607" s="61"/>
      <c r="D607" s="61"/>
      <c r="E607" s="61"/>
      <c r="F607" s="61"/>
      <c r="H607" s="24"/>
    </row>
    <row r="608">
      <c r="B608" s="8"/>
      <c r="C608" s="61"/>
      <c r="D608" s="61"/>
      <c r="E608" s="61"/>
      <c r="F608" s="61"/>
      <c r="H608" s="24"/>
    </row>
    <row r="609">
      <c r="B609" s="8"/>
      <c r="C609" s="61"/>
      <c r="D609" s="61"/>
      <c r="E609" s="61"/>
      <c r="F609" s="61"/>
      <c r="H609" s="24"/>
    </row>
    <row r="610">
      <c r="B610" s="8"/>
      <c r="C610" s="61"/>
      <c r="D610" s="61"/>
      <c r="E610" s="61"/>
      <c r="F610" s="61"/>
      <c r="H610" s="24"/>
    </row>
    <row r="611">
      <c r="B611" s="8"/>
      <c r="C611" s="61"/>
      <c r="D611" s="61"/>
      <c r="E611" s="61"/>
      <c r="F611" s="61"/>
      <c r="H611" s="24"/>
    </row>
    <row r="612">
      <c r="B612" s="8"/>
      <c r="C612" s="61"/>
      <c r="D612" s="61"/>
      <c r="E612" s="61"/>
      <c r="F612" s="61"/>
      <c r="H612" s="24"/>
    </row>
    <row r="613">
      <c r="B613" s="8"/>
      <c r="C613" s="61"/>
      <c r="D613" s="61"/>
      <c r="E613" s="61"/>
      <c r="F613" s="61"/>
      <c r="H613" s="24"/>
    </row>
    <row r="614">
      <c r="B614" s="8"/>
      <c r="C614" s="61"/>
      <c r="D614" s="61"/>
      <c r="E614" s="61"/>
      <c r="F614" s="61"/>
      <c r="H614" s="24"/>
    </row>
    <row r="615">
      <c r="B615" s="8"/>
      <c r="C615" s="61"/>
      <c r="D615" s="61"/>
      <c r="E615" s="61"/>
      <c r="F615" s="61"/>
      <c r="H615" s="24"/>
    </row>
    <row r="616">
      <c r="B616" s="8"/>
      <c r="C616" s="61"/>
      <c r="D616" s="61"/>
      <c r="E616" s="61"/>
      <c r="F616" s="61"/>
      <c r="H616" s="24"/>
    </row>
    <row r="617">
      <c r="B617" s="8"/>
      <c r="C617" s="61"/>
      <c r="D617" s="61"/>
      <c r="E617" s="61"/>
      <c r="F617" s="61"/>
      <c r="H617" s="24"/>
    </row>
    <row r="618">
      <c r="B618" s="8"/>
      <c r="C618" s="61"/>
      <c r="D618" s="61"/>
      <c r="E618" s="61"/>
      <c r="F618" s="61"/>
      <c r="H618" s="24"/>
    </row>
    <row r="619">
      <c r="B619" s="8"/>
      <c r="C619" s="61"/>
      <c r="D619" s="61"/>
      <c r="E619" s="61"/>
      <c r="F619" s="61"/>
      <c r="H619" s="24"/>
    </row>
    <row r="620">
      <c r="B620" s="8"/>
      <c r="C620" s="61"/>
      <c r="D620" s="61"/>
      <c r="E620" s="61"/>
      <c r="F620" s="61"/>
      <c r="H620" s="24"/>
    </row>
    <row r="621">
      <c r="B621" s="8"/>
      <c r="C621" s="61"/>
      <c r="D621" s="61"/>
      <c r="E621" s="61"/>
      <c r="F621" s="61"/>
      <c r="H621" s="24"/>
    </row>
    <row r="622">
      <c r="B622" s="8"/>
      <c r="C622" s="61"/>
      <c r="D622" s="61"/>
      <c r="E622" s="61"/>
      <c r="F622" s="61"/>
      <c r="H622" s="24"/>
    </row>
    <row r="623">
      <c r="B623" s="8"/>
      <c r="C623" s="61"/>
      <c r="D623" s="61"/>
      <c r="E623" s="61"/>
      <c r="F623" s="61"/>
      <c r="H623" s="24"/>
    </row>
    <row r="624">
      <c r="B624" s="8"/>
      <c r="C624" s="61"/>
      <c r="D624" s="61"/>
      <c r="E624" s="61"/>
      <c r="F624" s="61"/>
      <c r="H624" s="24"/>
    </row>
    <row r="625">
      <c r="B625" s="8"/>
      <c r="C625" s="61"/>
      <c r="D625" s="61"/>
      <c r="E625" s="61"/>
      <c r="F625" s="61"/>
      <c r="H625" s="24"/>
    </row>
    <row r="626">
      <c r="B626" s="8"/>
      <c r="C626" s="61"/>
      <c r="D626" s="61"/>
      <c r="E626" s="61"/>
      <c r="F626" s="61"/>
      <c r="H626" s="24"/>
    </row>
    <row r="627">
      <c r="B627" s="8"/>
      <c r="C627" s="61"/>
      <c r="D627" s="61"/>
      <c r="E627" s="61"/>
      <c r="F627" s="61"/>
      <c r="H627" s="24"/>
    </row>
    <row r="628">
      <c r="B628" s="8"/>
      <c r="C628" s="61"/>
      <c r="D628" s="61"/>
      <c r="E628" s="61"/>
      <c r="F628" s="61"/>
      <c r="H628" s="24"/>
    </row>
    <row r="629">
      <c r="B629" s="8"/>
      <c r="C629" s="61"/>
      <c r="D629" s="61"/>
      <c r="E629" s="61"/>
      <c r="F629" s="61"/>
      <c r="H629" s="24"/>
    </row>
    <row r="630">
      <c r="B630" s="8"/>
      <c r="C630" s="61"/>
      <c r="D630" s="61"/>
      <c r="E630" s="61"/>
      <c r="F630" s="61"/>
      <c r="H630" s="24"/>
    </row>
    <row r="631">
      <c r="B631" s="8"/>
      <c r="C631" s="61"/>
      <c r="D631" s="61"/>
      <c r="E631" s="61"/>
      <c r="F631" s="61"/>
      <c r="H631" s="24"/>
    </row>
    <row r="632">
      <c r="B632" s="8"/>
      <c r="C632" s="61"/>
      <c r="D632" s="61"/>
      <c r="E632" s="61"/>
      <c r="F632" s="61"/>
      <c r="H632" s="24"/>
    </row>
    <row r="633">
      <c r="B633" s="8"/>
      <c r="C633" s="61"/>
      <c r="D633" s="61"/>
      <c r="E633" s="61"/>
      <c r="F633" s="61"/>
      <c r="H633" s="24"/>
    </row>
    <row r="634">
      <c r="B634" s="8"/>
      <c r="C634" s="61"/>
      <c r="D634" s="61"/>
      <c r="E634" s="61"/>
      <c r="F634" s="61"/>
      <c r="H634" s="24"/>
    </row>
    <row r="635">
      <c r="B635" s="8"/>
      <c r="C635" s="61"/>
      <c r="D635" s="61"/>
      <c r="E635" s="61"/>
      <c r="F635" s="61"/>
      <c r="H635" s="24"/>
    </row>
    <row r="636">
      <c r="B636" s="8"/>
      <c r="C636" s="61"/>
      <c r="D636" s="61"/>
      <c r="E636" s="61"/>
      <c r="F636" s="61"/>
      <c r="H636" s="24"/>
    </row>
    <row r="637">
      <c r="B637" s="8"/>
      <c r="C637" s="61"/>
      <c r="D637" s="61"/>
      <c r="E637" s="61"/>
      <c r="F637" s="61"/>
      <c r="H637" s="24"/>
    </row>
    <row r="638">
      <c r="B638" s="8"/>
      <c r="C638" s="61"/>
      <c r="D638" s="61"/>
      <c r="E638" s="61"/>
      <c r="F638" s="61"/>
      <c r="H638" s="24"/>
    </row>
    <row r="639">
      <c r="B639" s="8"/>
      <c r="C639" s="61"/>
      <c r="D639" s="61"/>
      <c r="E639" s="61"/>
      <c r="F639" s="61"/>
      <c r="H639" s="24"/>
    </row>
    <row r="640">
      <c r="B640" s="8"/>
      <c r="C640" s="61"/>
      <c r="D640" s="61"/>
      <c r="E640" s="61"/>
      <c r="F640" s="61"/>
      <c r="H640" s="24"/>
    </row>
    <row r="641">
      <c r="B641" s="8"/>
      <c r="C641" s="61"/>
      <c r="D641" s="61"/>
      <c r="E641" s="61"/>
      <c r="F641" s="61"/>
      <c r="H641" s="24"/>
    </row>
    <row r="642">
      <c r="B642" s="8"/>
      <c r="C642" s="61"/>
      <c r="D642" s="61"/>
      <c r="E642" s="61"/>
      <c r="F642" s="61"/>
      <c r="H642" s="24"/>
    </row>
    <row r="643">
      <c r="B643" s="8"/>
      <c r="C643" s="61"/>
      <c r="D643" s="61"/>
      <c r="E643" s="61"/>
      <c r="F643" s="61"/>
      <c r="H643" s="24"/>
    </row>
    <row r="644">
      <c r="B644" s="8"/>
      <c r="C644" s="61"/>
      <c r="D644" s="61"/>
      <c r="E644" s="61"/>
      <c r="F644" s="61"/>
      <c r="H644" s="24"/>
    </row>
    <row r="645">
      <c r="B645" s="8"/>
      <c r="C645" s="61"/>
      <c r="D645" s="61"/>
      <c r="E645" s="61"/>
      <c r="F645" s="61"/>
      <c r="H645" s="24"/>
    </row>
    <row r="646">
      <c r="B646" s="8"/>
      <c r="C646" s="61"/>
      <c r="D646" s="61"/>
      <c r="E646" s="61"/>
      <c r="F646" s="61"/>
      <c r="H646" s="24"/>
    </row>
    <row r="647">
      <c r="B647" s="8"/>
      <c r="C647" s="61"/>
      <c r="D647" s="61"/>
      <c r="E647" s="61"/>
      <c r="F647" s="61"/>
      <c r="H647" s="24"/>
    </row>
    <row r="648">
      <c r="B648" s="8"/>
      <c r="C648" s="61"/>
      <c r="D648" s="61"/>
      <c r="E648" s="61"/>
      <c r="F648" s="61"/>
      <c r="H648" s="24"/>
    </row>
    <row r="649">
      <c r="B649" s="8"/>
      <c r="C649" s="61"/>
      <c r="D649" s="61"/>
      <c r="E649" s="61"/>
      <c r="F649" s="61"/>
      <c r="H649" s="24"/>
    </row>
    <row r="650">
      <c r="B650" s="8"/>
      <c r="C650" s="61"/>
      <c r="D650" s="61"/>
      <c r="E650" s="61"/>
      <c r="F650" s="61"/>
      <c r="H650" s="24"/>
    </row>
    <row r="651">
      <c r="B651" s="8"/>
      <c r="C651" s="61"/>
      <c r="D651" s="61"/>
      <c r="E651" s="61"/>
      <c r="F651" s="61"/>
      <c r="H651" s="24"/>
    </row>
    <row r="652">
      <c r="B652" s="8"/>
      <c r="C652" s="61"/>
      <c r="D652" s="61"/>
      <c r="E652" s="61"/>
      <c r="F652" s="61"/>
      <c r="H652" s="24"/>
    </row>
    <row r="653">
      <c r="B653" s="8"/>
      <c r="C653" s="61"/>
      <c r="D653" s="61"/>
      <c r="E653" s="61"/>
      <c r="F653" s="61"/>
      <c r="H653" s="24"/>
    </row>
    <row r="654">
      <c r="B654" s="8"/>
      <c r="C654" s="61"/>
      <c r="D654" s="61"/>
      <c r="E654" s="61"/>
      <c r="F654" s="61"/>
      <c r="H654" s="24"/>
    </row>
    <row r="655">
      <c r="B655" s="8"/>
      <c r="C655" s="61"/>
      <c r="D655" s="61"/>
      <c r="E655" s="61"/>
      <c r="F655" s="61"/>
      <c r="H655" s="24"/>
    </row>
    <row r="656">
      <c r="B656" s="8"/>
      <c r="C656" s="61"/>
      <c r="D656" s="61"/>
      <c r="E656" s="61"/>
      <c r="F656" s="61"/>
      <c r="H656" s="24"/>
    </row>
    <row r="657">
      <c r="B657" s="8"/>
      <c r="C657" s="61"/>
      <c r="D657" s="61"/>
      <c r="E657" s="61"/>
      <c r="F657" s="61"/>
      <c r="H657" s="24"/>
    </row>
    <row r="658">
      <c r="B658" s="8"/>
      <c r="C658" s="61"/>
      <c r="D658" s="61"/>
      <c r="E658" s="61"/>
      <c r="F658" s="61"/>
      <c r="H658" s="24"/>
    </row>
    <row r="659">
      <c r="B659" s="8"/>
      <c r="C659" s="61"/>
      <c r="D659" s="61"/>
      <c r="E659" s="61"/>
      <c r="F659" s="61"/>
      <c r="H659" s="24"/>
    </row>
    <row r="660">
      <c r="B660" s="8"/>
      <c r="C660" s="61"/>
      <c r="D660" s="61"/>
      <c r="E660" s="61"/>
      <c r="F660" s="61"/>
      <c r="H660" s="24"/>
    </row>
    <row r="661">
      <c r="B661" s="8"/>
      <c r="C661" s="61"/>
      <c r="D661" s="61"/>
      <c r="E661" s="61"/>
      <c r="F661" s="61"/>
      <c r="H661" s="24"/>
    </row>
    <row r="662">
      <c r="B662" s="8"/>
      <c r="C662" s="61"/>
      <c r="D662" s="61"/>
      <c r="E662" s="61"/>
      <c r="F662" s="61"/>
      <c r="H662" s="24"/>
    </row>
    <row r="663">
      <c r="B663" s="8"/>
      <c r="C663" s="61"/>
      <c r="D663" s="61"/>
      <c r="E663" s="61"/>
      <c r="F663" s="61"/>
      <c r="H663" s="24"/>
    </row>
    <row r="664">
      <c r="B664" s="8"/>
      <c r="C664" s="61"/>
      <c r="D664" s="61"/>
      <c r="E664" s="61"/>
      <c r="F664" s="61"/>
      <c r="H664" s="24"/>
    </row>
    <row r="665">
      <c r="B665" s="8"/>
      <c r="C665" s="61"/>
      <c r="D665" s="61"/>
      <c r="E665" s="61"/>
      <c r="F665" s="61"/>
      <c r="H665" s="24"/>
    </row>
    <row r="666">
      <c r="B666" s="8"/>
      <c r="C666" s="61"/>
      <c r="D666" s="61"/>
      <c r="E666" s="61"/>
      <c r="F666" s="61"/>
      <c r="H666" s="24"/>
    </row>
    <row r="667">
      <c r="B667" s="8"/>
      <c r="C667" s="61"/>
      <c r="D667" s="61"/>
      <c r="E667" s="61"/>
      <c r="F667" s="61"/>
      <c r="H667" s="24"/>
    </row>
    <row r="668">
      <c r="B668" s="8"/>
      <c r="C668" s="61"/>
      <c r="D668" s="61"/>
      <c r="E668" s="61"/>
      <c r="F668" s="61"/>
      <c r="H668" s="24"/>
    </row>
    <row r="669">
      <c r="B669" s="8"/>
      <c r="C669" s="61"/>
      <c r="D669" s="61"/>
      <c r="E669" s="61"/>
      <c r="F669" s="61"/>
      <c r="H669" s="24"/>
    </row>
    <row r="670">
      <c r="B670" s="8"/>
      <c r="C670" s="61"/>
      <c r="D670" s="61"/>
      <c r="E670" s="61"/>
      <c r="F670" s="61"/>
      <c r="H670" s="24"/>
    </row>
    <row r="671">
      <c r="B671" s="8"/>
      <c r="C671" s="61"/>
      <c r="D671" s="61"/>
      <c r="E671" s="61"/>
      <c r="F671" s="61"/>
      <c r="H671" s="24"/>
    </row>
    <row r="672">
      <c r="B672" s="8"/>
      <c r="C672" s="61"/>
      <c r="D672" s="61"/>
      <c r="E672" s="61"/>
      <c r="F672" s="61"/>
      <c r="H672" s="24"/>
    </row>
    <row r="673">
      <c r="B673" s="8"/>
      <c r="C673" s="61"/>
      <c r="D673" s="61"/>
      <c r="E673" s="61"/>
      <c r="F673" s="61"/>
      <c r="H673" s="24"/>
    </row>
    <row r="674">
      <c r="B674" s="8"/>
      <c r="C674" s="61"/>
      <c r="D674" s="61"/>
      <c r="E674" s="61"/>
      <c r="F674" s="61"/>
      <c r="H674" s="24"/>
    </row>
    <row r="675">
      <c r="B675" s="8"/>
      <c r="C675" s="61"/>
      <c r="D675" s="61"/>
      <c r="E675" s="61"/>
      <c r="F675" s="61"/>
      <c r="H675" s="24"/>
    </row>
    <row r="676">
      <c r="B676" s="8"/>
      <c r="C676" s="61"/>
      <c r="D676" s="61"/>
      <c r="E676" s="61"/>
      <c r="F676" s="61"/>
      <c r="H676" s="24"/>
    </row>
    <row r="677">
      <c r="B677" s="8"/>
      <c r="C677" s="61"/>
      <c r="D677" s="61"/>
      <c r="E677" s="61"/>
      <c r="F677" s="61"/>
      <c r="H677" s="24"/>
    </row>
    <row r="678">
      <c r="B678" s="8"/>
      <c r="C678" s="61"/>
      <c r="D678" s="61"/>
      <c r="E678" s="61"/>
      <c r="F678" s="61"/>
      <c r="H678" s="24"/>
    </row>
    <row r="679">
      <c r="B679" s="8"/>
      <c r="C679" s="61"/>
      <c r="D679" s="61"/>
      <c r="E679" s="61"/>
      <c r="F679" s="61"/>
      <c r="H679" s="24"/>
    </row>
    <row r="680">
      <c r="B680" s="8"/>
      <c r="C680" s="61"/>
      <c r="D680" s="61"/>
      <c r="E680" s="61"/>
      <c r="F680" s="61"/>
      <c r="H680" s="24"/>
    </row>
    <row r="681">
      <c r="B681" s="8"/>
      <c r="C681" s="61"/>
      <c r="D681" s="61"/>
      <c r="E681" s="61"/>
      <c r="F681" s="61"/>
      <c r="H681" s="24"/>
    </row>
    <row r="682">
      <c r="B682" s="8"/>
      <c r="C682" s="61"/>
      <c r="D682" s="61"/>
      <c r="E682" s="61"/>
      <c r="F682" s="61"/>
      <c r="H682" s="24"/>
    </row>
    <row r="683">
      <c r="B683" s="8"/>
      <c r="C683" s="61"/>
      <c r="D683" s="61"/>
      <c r="E683" s="61"/>
      <c r="F683" s="61"/>
      <c r="H683" s="24"/>
    </row>
    <row r="684">
      <c r="B684" s="8"/>
      <c r="C684" s="61"/>
      <c r="D684" s="61"/>
      <c r="E684" s="61"/>
      <c r="F684" s="61"/>
      <c r="H684" s="24"/>
    </row>
    <row r="685">
      <c r="B685" s="8"/>
      <c r="C685" s="61"/>
      <c r="D685" s="61"/>
      <c r="E685" s="61"/>
      <c r="F685" s="61"/>
      <c r="H685" s="24"/>
    </row>
    <row r="686">
      <c r="B686" s="8"/>
      <c r="C686" s="61"/>
      <c r="D686" s="61"/>
      <c r="E686" s="61"/>
      <c r="F686" s="61"/>
      <c r="H686" s="24"/>
    </row>
    <row r="687">
      <c r="B687" s="8"/>
      <c r="C687" s="61"/>
      <c r="D687" s="61"/>
      <c r="E687" s="61"/>
      <c r="F687" s="61"/>
      <c r="H687" s="24"/>
    </row>
    <row r="688">
      <c r="B688" s="8"/>
      <c r="C688" s="61"/>
      <c r="D688" s="61"/>
      <c r="E688" s="61"/>
      <c r="F688" s="61"/>
      <c r="H688" s="24"/>
    </row>
    <row r="689">
      <c r="B689" s="8"/>
      <c r="C689" s="61"/>
      <c r="D689" s="61"/>
      <c r="E689" s="61"/>
      <c r="F689" s="61"/>
      <c r="H689" s="24"/>
    </row>
    <row r="690">
      <c r="B690" s="8"/>
      <c r="C690" s="61"/>
      <c r="D690" s="61"/>
      <c r="E690" s="61"/>
      <c r="F690" s="61"/>
      <c r="H690" s="24"/>
    </row>
    <row r="691">
      <c r="B691" s="8"/>
      <c r="C691" s="61"/>
      <c r="D691" s="61"/>
      <c r="E691" s="61"/>
      <c r="F691" s="61"/>
      <c r="H691" s="24"/>
    </row>
    <row r="692">
      <c r="B692" s="8"/>
      <c r="C692" s="61"/>
      <c r="D692" s="61"/>
      <c r="E692" s="61"/>
      <c r="F692" s="61"/>
      <c r="H692" s="24"/>
    </row>
    <row r="693">
      <c r="B693" s="8"/>
      <c r="C693" s="61"/>
      <c r="D693" s="61"/>
      <c r="E693" s="61"/>
      <c r="F693" s="61"/>
      <c r="H693" s="24"/>
    </row>
    <row r="694">
      <c r="B694" s="8"/>
      <c r="C694" s="61"/>
      <c r="D694" s="61"/>
      <c r="E694" s="61"/>
      <c r="F694" s="61"/>
      <c r="H694" s="24"/>
    </row>
    <row r="695">
      <c r="B695" s="8"/>
      <c r="C695" s="61"/>
      <c r="D695" s="61"/>
      <c r="E695" s="61"/>
      <c r="F695" s="61"/>
      <c r="H695" s="24"/>
    </row>
    <row r="696">
      <c r="B696" s="8"/>
      <c r="C696" s="61"/>
      <c r="D696" s="61"/>
      <c r="E696" s="61"/>
      <c r="F696" s="61"/>
      <c r="H696" s="24"/>
    </row>
    <row r="697">
      <c r="B697" s="8"/>
      <c r="C697" s="61"/>
      <c r="D697" s="61"/>
      <c r="E697" s="61"/>
      <c r="F697" s="61"/>
      <c r="H697" s="24"/>
    </row>
    <row r="698">
      <c r="B698" s="8"/>
      <c r="C698" s="61"/>
      <c r="D698" s="61"/>
      <c r="E698" s="61"/>
      <c r="F698" s="61"/>
      <c r="H698" s="24"/>
    </row>
    <row r="699">
      <c r="B699" s="8"/>
      <c r="C699" s="61"/>
      <c r="D699" s="61"/>
      <c r="E699" s="61"/>
      <c r="F699" s="61"/>
      <c r="H699" s="24"/>
    </row>
    <row r="700">
      <c r="B700" s="8"/>
      <c r="C700" s="61"/>
      <c r="D700" s="61"/>
      <c r="E700" s="61"/>
      <c r="F700" s="61"/>
      <c r="H700" s="24"/>
    </row>
    <row r="701">
      <c r="B701" s="8"/>
      <c r="C701" s="61"/>
      <c r="D701" s="61"/>
      <c r="E701" s="61"/>
      <c r="F701" s="61"/>
      <c r="H701" s="24"/>
    </row>
    <row r="702">
      <c r="B702" s="8"/>
      <c r="C702" s="61"/>
      <c r="D702" s="61"/>
      <c r="E702" s="61"/>
      <c r="F702" s="61"/>
      <c r="H702" s="24"/>
    </row>
    <row r="703">
      <c r="B703" s="8"/>
      <c r="C703" s="61"/>
      <c r="D703" s="61"/>
      <c r="E703" s="61"/>
      <c r="F703" s="61"/>
      <c r="H703" s="24"/>
    </row>
    <row r="704">
      <c r="B704" s="8"/>
      <c r="C704" s="61"/>
      <c r="D704" s="61"/>
      <c r="E704" s="61"/>
      <c r="F704" s="61"/>
      <c r="H704" s="24"/>
    </row>
    <row r="705">
      <c r="B705" s="8"/>
      <c r="C705" s="61"/>
      <c r="D705" s="61"/>
      <c r="E705" s="61"/>
      <c r="F705" s="61"/>
      <c r="H705" s="24"/>
    </row>
    <row r="706">
      <c r="B706" s="8"/>
      <c r="C706" s="61"/>
      <c r="D706" s="61"/>
      <c r="E706" s="61"/>
      <c r="F706" s="61"/>
      <c r="H706" s="24"/>
    </row>
    <row r="707">
      <c r="B707" s="8"/>
      <c r="C707" s="61"/>
      <c r="D707" s="61"/>
      <c r="E707" s="61"/>
      <c r="F707" s="61"/>
      <c r="H707" s="24"/>
    </row>
    <row r="708">
      <c r="B708" s="8"/>
      <c r="C708" s="61"/>
      <c r="D708" s="61"/>
      <c r="E708" s="61"/>
      <c r="F708" s="61"/>
      <c r="H708" s="24"/>
    </row>
    <row r="709">
      <c r="B709" s="8"/>
      <c r="C709" s="61"/>
      <c r="D709" s="61"/>
      <c r="E709" s="61"/>
      <c r="F709" s="61"/>
      <c r="H709" s="24"/>
    </row>
    <row r="710">
      <c r="B710" s="8"/>
      <c r="C710" s="61"/>
      <c r="D710" s="61"/>
      <c r="E710" s="61"/>
      <c r="F710" s="61"/>
      <c r="H710" s="24"/>
    </row>
    <row r="711">
      <c r="B711" s="8"/>
      <c r="C711" s="61"/>
      <c r="D711" s="61"/>
      <c r="E711" s="61"/>
      <c r="F711" s="61"/>
      <c r="H711" s="24"/>
    </row>
    <row r="712">
      <c r="B712" s="8"/>
      <c r="C712" s="61"/>
      <c r="D712" s="61"/>
      <c r="E712" s="61"/>
      <c r="F712" s="61"/>
      <c r="H712" s="24"/>
    </row>
    <row r="713">
      <c r="B713" s="8"/>
      <c r="C713" s="61"/>
      <c r="D713" s="61"/>
      <c r="E713" s="61"/>
      <c r="F713" s="61"/>
      <c r="H713" s="24"/>
    </row>
    <row r="714">
      <c r="B714" s="8"/>
      <c r="C714" s="61"/>
      <c r="D714" s="61"/>
      <c r="E714" s="61"/>
      <c r="F714" s="61"/>
      <c r="H714" s="24"/>
    </row>
    <row r="715">
      <c r="B715" s="8"/>
      <c r="C715" s="61"/>
      <c r="D715" s="61"/>
      <c r="E715" s="61"/>
      <c r="F715" s="61"/>
      <c r="H715" s="24"/>
    </row>
    <row r="716">
      <c r="B716" s="8"/>
      <c r="C716" s="61"/>
      <c r="D716" s="61"/>
      <c r="E716" s="61"/>
      <c r="F716" s="61"/>
      <c r="H716" s="24"/>
    </row>
    <row r="717">
      <c r="B717" s="8"/>
      <c r="C717" s="61"/>
      <c r="D717" s="61"/>
      <c r="E717" s="61"/>
      <c r="F717" s="61"/>
      <c r="H717" s="24"/>
    </row>
    <row r="718">
      <c r="B718" s="8"/>
      <c r="C718" s="61"/>
      <c r="D718" s="61"/>
      <c r="E718" s="61"/>
      <c r="F718" s="61"/>
      <c r="H718" s="24"/>
    </row>
    <row r="719">
      <c r="B719" s="8"/>
      <c r="C719" s="61"/>
      <c r="D719" s="61"/>
      <c r="E719" s="61"/>
      <c r="F719" s="61"/>
      <c r="H719" s="24"/>
    </row>
    <row r="720">
      <c r="B720" s="8"/>
      <c r="C720" s="61"/>
      <c r="D720" s="61"/>
      <c r="E720" s="61"/>
      <c r="F720" s="61"/>
      <c r="H720" s="24"/>
    </row>
    <row r="721">
      <c r="B721" s="8"/>
      <c r="C721" s="61"/>
      <c r="D721" s="61"/>
      <c r="E721" s="61"/>
      <c r="F721" s="61"/>
      <c r="H721" s="24"/>
    </row>
    <row r="722">
      <c r="B722" s="8"/>
      <c r="C722" s="61"/>
      <c r="D722" s="61"/>
      <c r="E722" s="61"/>
      <c r="F722" s="61"/>
      <c r="H722" s="24"/>
    </row>
    <row r="723">
      <c r="B723" s="8"/>
      <c r="C723" s="61"/>
      <c r="D723" s="61"/>
      <c r="E723" s="61"/>
      <c r="F723" s="61"/>
      <c r="H723" s="24"/>
    </row>
    <row r="724">
      <c r="B724" s="8"/>
      <c r="C724" s="61"/>
      <c r="D724" s="61"/>
      <c r="E724" s="61"/>
      <c r="F724" s="61"/>
      <c r="H724" s="24"/>
    </row>
    <row r="725">
      <c r="B725" s="8"/>
      <c r="C725" s="61"/>
      <c r="D725" s="61"/>
      <c r="E725" s="61"/>
      <c r="F725" s="61"/>
      <c r="H725" s="24"/>
    </row>
    <row r="726">
      <c r="B726" s="8"/>
      <c r="C726" s="61"/>
      <c r="D726" s="61"/>
      <c r="E726" s="61"/>
      <c r="F726" s="61"/>
      <c r="H726" s="24"/>
    </row>
    <row r="727">
      <c r="B727" s="8"/>
      <c r="C727" s="61"/>
      <c r="D727" s="61"/>
      <c r="E727" s="61"/>
      <c r="F727" s="61"/>
      <c r="H727" s="24"/>
    </row>
    <row r="728">
      <c r="B728" s="8"/>
      <c r="C728" s="61"/>
      <c r="D728" s="61"/>
      <c r="E728" s="61"/>
      <c r="F728" s="61"/>
      <c r="H728" s="24"/>
    </row>
    <row r="729">
      <c r="B729" s="8"/>
      <c r="C729" s="61"/>
      <c r="D729" s="61"/>
      <c r="E729" s="61"/>
      <c r="F729" s="61"/>
      <c r="H729" s="24"/>
    </row>
    <row r="730">
      <c r="B730" s="8"/>
      <c r="C730" s="61"/>
      <c r="D730" s="61"/>
      <c r="E730" s="61"/>
      <c r="F730" s="61"/>
      <c r="H730" s="24"/>
    </row>
    <row r="731">
      <c r="B731" s="8"/>
      <c r="C731" s="61"/>
      <c r="D731" s="61"/>
      <c r="E731" s="61"/>
      <c r="F731" s="61"/>
      <c r="H731" s="24"/>
    </row>
    <row r="732">
      <c r="B732" s="8"/>
      <c r="C732" s="61"/>
      <c r="D732" s="61"/>
      <c r="E732" s="61"/>
      <c r="F732" s="61"/>
      <c r="H732" s="24"/>
    </row>
    <row r="733">
      <c r="B733" s="8"/>
      <c r="C733" s="61"/>
      <c r="D733" s="61"/>
      <c r="E733" s="61"/>
      <c r="F733" s="61"/>
      <c r="H733" s="24"/>
    </row>
    <row r="734">
      <c r="B734" s="8"/>
      <c r="C734" s="61"/>
      <c r="D734" s="61"/>
      <c r="E734" s="61"/>
      <c r="F734" s="61"/>
      <c r="H734" s="24"/>
    </row>
    <row r="735">
      <c r="B735" s="8"/>
      <c r="C735" s="61"/>
      <c r="D735" s="61"/>
      <c r="E735" s="61"/>
      <c r="F735" s="61"/>
      <c r="H735" s="24"/>
    </row>
    <row r="736">
      <c r="B736" s="8"/>
      <c r="C736" s="61"/>
      <c r="D736" s="61"/>
      <c r="E736" s="61"/>
      <c r="F736" s="61"/>
      <c r="H736" s="24"/>
    </row>
    <row r="737">
      <c r="B737" s="8"/>
      <c r="C737" s="61"/>
      <c r="D737" s="61"/>
      <c r="E737" s="61"/>
      <c r="F737" s="61"/>
      <c r="H737" s="24"/>
    </row>
    <row r="738">
      <c r="B738" s="8"/>
      <c r="C738" s="61"/>
      <c r="D738" s="61"/>
      <c r="E738" s="61"/>
      <c r="F738" s="61"/>
      <c r="H738" s="24"/>
    </row>
    <row r="739">
      <c r="B739" s="8"/>
      <c r="C739" s="61"/>
      <c r="D739" s="61"/>
      <c r="E739" s="61"/>
      <c r="F739" s="61"/>
      <c r="H739" s="24"/>
    </row>
    <row r="740">
      <c r="B740" s="8"/>
      <c r="C740" s="61"/>
      <c r="D740" s="61"/>
      <c r="E740" s="61"/>
      <c r="F740" s="61"/>
      <c r="H740" s="24"/>
    </row>
    <row r="741">
      <c r="B741" s="8"/>
      <c r="C741" s="61"/>
      <c r="D741" s="61"/>
      <c r="E741" s="61"/>
      <c r="F741" s="61"/>
      <c r="H741" s="24"/>
    </row>
    <row r="742">
      <c r="B742" s="8"/>
      <c r="C742" s="61"/>
      <c r="D742" s="61"/>
      <c r="E742" s="61"/>
      <c r="F742" s="61"/>
      <c r="H742" s="24"/>
    </row>
    <row r="743">
      <c r="B743" s="8"/>
      <c r="C743" s="61"/>
      <c r="D743" s="61"/>
      <c r="E743" s="61"/>
      <c r="F743" s="61"/>
      <c r="H743" s="24"/>
    </row>
    <row r="744">
      <c r="B744" s="8"/>
      <c r="C744" s="61"/>
      <c r="D744" s="61"/>
      <c r="E744" s="61"/>
      <c r="F744" s="61"/>
      <c r="H744" s="24"/>
    </row>
    <row r="745">
      <c r="B745" s="8"/>
      <c r="C745" s="61"/>
      <c r="D745" s="61"/>
      <c r="E745" s="61"/>
      <c r="F745" s="61"/>
      <c r="H745" s="24"/>
    </row>
    <row r="746">
      <c r="B746" s="8"/>
      <c r="C746" s="61"/>
      <c r="D746" s="61"/>
      <c r="E746" s="61"/>
      <c r="F746" s="61"/>
      <c r="H746" s="24"/>
    </row>
    <row r="747">
      <c r="B747" s="8"/>
      <c r="C747" s="61"/>
      <c r="D747" s="61"/>
      <c r="E747" s="61"/>
      <c r="F747" s="61"/>
      <c r="H747" s="24"/>
    </row>
    <row r="748">
      <c r="B748" s="8"/>
      <c r="C748" s="61"/>
      <c r="D748" s="61"/>
      <c r="E748" s="61"/>
      <c r="F748" s="61"/>
      <c r="H748" s="24"/>
    </row>
    <row r="749">
      <c r="B749" s="8"/>
      <c r="C749" s="61"/>
      <c r="D749" s="61"/>
      <c r="E749" s="61"/>
      <c r="F749" s="61"/>
      <c r="H749" s="24"/>
    </row>
    <row r="750">
      <c r="B750" s="8"/>
      <c r="C750" s="61"/>
      <c r="D750" s="61"/>
      <c r="E750" s="61"/>
      <c r="F750" s="61"/>
      <c r="H750" s="24"/>
    </row>
    <row r="751">
      <c r="B751" s="8"/>
      <c r="C751" s="61"/>
      <c r="D751" s="61"/>
      <c r="E751" s="61"/>
      <c r="F751" s="61"/>
      <c r="H751" s="24"/>
    </row>
    <row r="752">
      <c r="B752" s="8"/>
      <c r="C752" s="61"/>
      <c r="D752" s="61"/>
      <c r="E752" s="61"/>
      <c r="F752" s="61"/>
      <c r="H752" s="24"/>
    </row>
    <row r="753">
      <c r="B753" s="8"/>
      <c r="C753" s="61"/>
      <c r="D753" s="61"/>
      <c r="E753" s="61"/>
      <c r="F753" s="61"/>
      <c r="H753" s="24"/>
    </row>
    <row r="754">
      <c r="B754" s="8"/>
      <c r="C754" s="61"/>
      <c r="D754" s="61"/>
      <c r="E754" s="61"/>
      <c r="F754" s="61"/>
      <c r="H754" s="24"/>
    </row>
    <row r="755">
      <c r="B755" s="8"/>
      <c r="C755" s="61"/>
      <c r="D755" s="61"/>
      <c r="E755" s="61"/>
      <c r="F755" s="61"/>
      <c r="H755" s="24"/>
    </row>
    <row r="756">
      <c r="B756" s="8"/>
      <c r="C756" s="61"/>
      <c r="D756" s="61"/>
      <c r="E756" s="61"/>
      <c r="F756" s="61"/>
      <c r="H756" s="24"/>
    </row>
    <row r="757">
      <c r="B757" s="8"/>
      <c r="C757" s="61"/>
      <c r="D757" s="61"/>
      <c r="E757" s="61"/>
      <c r="F757" s="61"/>
      <c r="H757" s="24"/>
    </row>
    <row r="758">
      <c r="B758" s="8"/>
      <c r="C758" s="61"/>
      <c r="D758" s="61"/>
      <c r="E758" s="61"/>
      <c r="F758" s="61"/>
      <c r="H758" s="24"/>
    </row>
    <row r="759">
      <c r="B759" s="8"/>
      <c r="C759" s="61"/>
      <c r="D759" s="61"/>
      <c r="E759" s="61"/>
      <c r="F759" s="61"/>
      <c r="H759" s="24"/>
    </row>
    <row r="760">
      <c r="B760" s="8"/>
      <c r="C760" s="61"/>
      <c r="D760" s="61"/>
      <c r="E760" s="61"/>
      <c r="F760" s="61"/>
      <c r="H760" s="24"/>
    </row>
    <row r="761">
      <c r="B761" s="8"/>
      <c r="C761" s="61"/>
      <c r="D761" s="61"/>
      <c r="E761" s="61"/>
      <c r="F761" s="61"/>
      <c r="H761" s="24"/>
    </row>
    <row r="762">
      <c r="B762" s="8"/>
      <c r="C762" s="61"/>
      <c r="D762" s="61"/>
      <c r="E762" s="61"/>
      <c r="F762" s="61"/>
      <c r="H762" s="24"/>
    </row>
    <row r="763">
      <c r="B763" s="8"/>
      <c r="C763" s="61"/>
      <c r="D763" s="61"/>
      <c r="E763" s="61"/>
      <c r="F763" s="61"/>
      <c r="H763" s="24"/>
    </row>
    <row r="764">
      <c r="B764" s="8"/>
      <c r="C764" s="61"/>
      <c r="D764" s="61"/>
      <c r="E764" s="61"/>
      <c r="F764" s="61"/>
      <c r="H764" s="24"/>
    </row>
    <row r="765">
      <c r="B765" s="8"/>
      <c r="C765" s="61"/>
      <c r="D765" s="61"/>
      <c r="E765" s="61"/>
      <c r="F765" s="61"/>
      <c r="H765" s="24"/>
    </row>
    <row r="766">
      <c r="B766" s="8"/>
      <c r="C766" s="61"/>
      <c r="D766" s="61"/>
      <c r="E766" s="61"/>
      <c r="F766" s="61"/>
      <c r="H766" s="24"/>
    </row>
    <row r="767">
      <c r="B767" s="8"/>
      <c r="C767" s="61"/>
      <c r="D767" s="61"/>
      <c r="E767" s="61"/>
      <c r="F767" s="61"/>
      <c r="H767" s="24"/>
    </row>
    <row r="768">
      <c r="B768" s="8"/>
      <c r="C768" s="61"/>
      <c r="D768" s="61"/>
      <c r="E768" s="61"/>
      <c r="F768" s="61"/>
      <c r="H768" s="24"/>
    </row>
    <row r="769">
      <c r="B769" s="8"/>
      <c r="C769" s="61"/>
      <c r="D769" s="61"/>
      <c r="E769" s="61"/>
      <c r="F769" s="61"/>
      <c r="H769" s="24"/>
    </row>
    <row r="770">
      <c r="B770" s="8"/>
      <c r="C770" s="61"/>
      <c r="D770" s="61"/>
      <c r="E770" s="61"/>
      <c r="F770" s="61"/>
      <c r="H770" s="24"/>
    </row>
    <row r="771">
      <c r="B771" s="8"/>
      <c r="C771" s="61"/>
      <c r="D771" s="61"/>
      <c r="E771" s="61"/>
      <c r="F771" s="61"/>
      <c r="H771" s="24"/>
    </row>
    <row r="772">
      <c r="B772" s="8"/>
      <c r="C772" s="61"/>
      <c r="D772" s="61"/>
      <c r="E772" s="61"/>
      <c r="F772" s="61"/>
      <c r="H772" s="24"/>
    </row>
    <row r="773">
      <c r="B773" s="8"/>
      <c r="C773" s="61"/>
      <c r="D773" s="61"/>
      <c r="E773" s="61"/>
      <c r="F773" s="61"/>
      <c r="H773" s="24"/>
    </row>
    <row r="774">
      <c r="B774" s="8"/>
      <c r="C774" s="61"/>
      <c r="D774" s="61"/>
      <c r="E774" s="61"/>
      <c r="F774" s="61"/>
      <c r="H774" s="24"/>
    </row>
    <row r="775">
      <c r="B775" s="8"/>
      <c r="C775" s="61"/>
      <c r="D775" s="61"/>
      <c r="E775" s="61"/>
      <c r="F775" s="61"/>
      <c r="H775" s="24"/>
    </row>
    <row r="776">
      <c r="B776" s="8"/>
      <c r="C776" s="61"/>
      <c r="D776" s="61"/>
      <c r="E776" s="61"/>
      <c r="F776" s="61"/>
      <c r="H776" s="24"/>
    </row>
    <row r="777">
      <c r="B777" s="8"/>
      <c r="C777" s="61"/>
      <c r="D777" s="61"/>
      <c r="E777" s="61"/>
      <c r="F777" s="61"/>
      <c r="H777" s="24"/>
    </row>
    <row r="778">
      <c r="B778" s="8"/>
      <c r="C778" s="61"/>
      <c r="D778" s="61"/>
      <c r="E778" s="61"/>
      <c r="F778" s="61"/>
      <c r="H778" s="24"/>
    </row>
    <row r="779">
      <c r="B779" s="8"/>
      <c r="C779" s="61"/>
      <c r="D779" s="61"/>
      <c r="E779" s="61"/>
      <c r="F779" s="61"/>
      <c r="H779" s="24"/>
    </row>
    <row r="780">
      <c r="B780" s="8"/>
      <c r="C780" s="61"/>
      <c r="D780" s="61"/>
      <c r="E780" s="61"/>
      <c r="F780" s="61"/>
      <c r="H780" s="24"/>
    </row>
    <row r="781">
      <c r="B781" s="8"/>
      <c r="C781" s="61"/>
      <c r="D781" s="61"/>
      <c r="E781" s="61"/>
      <c r="F781" s="61"/>
      <c r="H781" s="24"/>
    </row>
    <row r="782">
      <c r="B782" s="8"/>
      <c r="C782" s="61"/>
      <c r="D782" s="61"/>
      <c r="E782" s="61"/>
      <c r="F782" s="61"/>
      <c r="H782" s="24"/>
    </row>
    <row r="783">
      <c r="B783" s="8"/>
      <c r="C783" s="61"/>
      <c r="D783" s="61"/>
      <c r="E783" s="61"/>
      <c r="F783" s="61"/>
      <c r="H783" s="24"/>
    </row>
    <row r="784">
      <c r="B784" s="8"/>
      <c r="C784" s="61"/>
      <c r="D784" s="61"/>
      <c r="E784" s="61"/>
      <c r="F784" s="61"/>
      <c r="H784" s="24"/>
    </row>
    <row r="785">
      <c r="B785" s="8"/>
      <c r="C785" s="61"/>
      <c r="D785" s="61"/>
      <c r="E785" s="61"/>
      <c r="F785" s="61"/>
      <c r="H785" s="24"/>
    </row>
    <row r="786">
      <c r="B786" s="8"/>
      <c r="C786" s="61"/>
      <c r="D786" s="61"/>
      <c r="E786" s="61"/>
      <c r="F786" s="61"/>
      <c r="H786" s="24"/>
    </row>
    <row r="787">
      <c r="B787" s="8"/>
      <c r="C787" s="61"/>
      <c r="D787" s="61"/>
      <c r="E787" s="61"/>
      <c r="F787" s="61"/>
      <c r="H787" s="24"/>
    </row>
    <row r="788">
      <c r="B788" s="8"/>
      <c r="C788" s="61"/>
      <c r="D788" s="61"/>
      <c r="E788" s="61"/>
      <c r="F788" s="61"/>
      <c r="H788" s="24"/>
    </row>
    <row r="789">
      <c r="B789" s="8"/>
      <c r="C789" s="61"/>
      <c r="D789" s="61"/>
      <c r="E789" s="61"/>
      <c r="F789" s="61"/>
      <c r="H789" s="24"/>
    </row>
    <row r="790">
      <c r="B790" s="8"/>
      <c r="C790" s="61"/>
      <c r="D790" s="61"/>
      <c r="E790" s="61"/>
      <c r="F790" s="61"/>
      <c r="H790" s="24"/>
    </row>
    <row r="791">
      <c r="B791" s="8"/>
      <c r="C791" s="61"/>
      <c r="D791" s="61"/>
      <c r="E791" s="61"/>
      <c r="F791" s="61"/>
      <c r="H791" s="24"/>
    </row>
    <row r="792">
      <c r="B792" s="8"/>
      <c r="C792" s="61"/>
      <c r="D792" s="61"/>
      <c r="E792" s="61"/>
      <c r="F792" s="61"/>
      <c r="H792" s="24"/>
    </row>
    <row r="793">
      <c r="B793" s="8"/>
      <c r="C793" s="61"/>
      <c r="D793" s="61"/>
      <c r="E793" s="61"/>
      <c r="F793" s="61"/>
      <c r="H793" s="24"/>
    </row>
    <row r="794">
      <c r="B794" s="8"/>
      <c r="C794" s="61"/>
      <c r="D794" s="61"/>
      <c r="E794" s="61"/>
      <c r="F794" s="61"/>
      <c r="H794" s="24"/>
    </row>
    <row r="795">
      <c r="B795" s="8"/>
      <c r="C795" s="61"/>
      <c r="D795" s="61"/>
      <c r="E795" s="61"/>
      <c r="F795" s="61"/>
      <c r="H795" s="24"/>
    </row>
    <row r="796">
      <c r="B796" s="8"/>
      <c r="C796" s="61"/>
      <c r="D796" s="61"/>
      <c r="E796" s="61"/>
      <c r="F796" s="61"/>
      <c r="H796" s="24"/>
    </row>
    <row r="797">
      <c r="B797" s="8"/>
      <c r="C797" s="61"/>
      <c r="D797" s="61"/>
      <c r="E797" s="61"/>
      <c r="F797" s="61"/>
      <c r="H797" s="24"/>
    </row>
    <row r="798">
      <c r="B798" s="8"/>
      <c r="C798" s="61"/>
      <c r="D798" s="61"/>
      <c r="E798" s="61"/>
      <c r="F798" s="61"/>
      <c r="H798" s="24"/>
    </row>
    <row r="799">
      <c r="B799" s="8"/>
      <c r="C799" s="61"/>
      <c r="D799" s="61"/>
      <c r="E799" s="61"/>
      <c r="F799" s="61"/>
      <c r="H799" s="24"/>
    </row>
    <row r="800">
      <c r="B800" s="8"/>
      <c r="C800" s="61"/>
      <c r="D800" s="61"/>
      <c r="E800" s="61"/>
      <c r="F800" s="61"/>
      <c r="H800" s="24"/>
    </row>
    <row r="801">
      <c r="B801" s="8"/>
      <c r="C801" s="61"/>
      <c r="D801" s="61"/>
      <c r="E801" s="61"/>
      <c r="F801" s="61"/>
      <c r="H801" s="24"/>
    </row>
    <row r="802">
      <c r="B802" s="8"/>
      <c r="C802" s="61"/>
      <c r="D802" s="61"/>
      <c r="E802" s="61"/>
      <c r="F802" s="61"/>
      <c r="H802" s="24"/>
    </row>
    <row r="803">
      <c r="B803" s="8"/>
      <c r="C803" s="61"/>
      <c r="D803" s="61"/>
      <c r="E803" s="61"/>
      <c r="F803" s="61"/>
      <c r="H803" s="24"/>
    </row>
    <row r="804">
      <c r="B804" s="8"/>
      <c r="C804" s="61"/>
      <c r="D804" s="61"/>
      <c r="E804" s="61"/>
      <c r="F804" s="61"/>
      <c r="H804" s="24"/>
    </row>
    <row r="805">
      <c r="B805" s="8"/>
      <c r="C805" s="61"/>
      <c r="D805" s="61"/>
      <c r="E805" s="61"/>
      <c r="F805" s="61"/>
      <c r="H805" s="24"/>
    </row>
    <row r="806">
      <c r="B806" s="8"/>
      <c r="C806" s="61"/>
      <c r="D806" s="61"/>
      <c r="E806" s="61"/>
      <c r="F806" s="61"/>
      <c r="H806" s="24"/>
    </row>
    <row r="807">
      <c r="B807" s="8"/>
      <c r="C807" s="61"/>
      <c r="D807" s="61"/>
      <c r="E807" s="61"/>
      <c r="F807" s="61"/>
      <c r="H807" s="24"/>
    </row>
    <row r="808">
      <c r="B808" s="8"/>
      <c r="C808" s="61"/>
      <c r="D808" s="61"/>
      <c r="E808" s="61"/>
      <c r="F808" s="61"/>
      <c r="H808" s="24"/>
    </row>
    <row r="809">
      <c r="B809" s="8"/>
      <c r="C809" s="61"/>
      <c r="D809" s="61"/>
      <c r="E809" s="61"/>
      <c r="F809" s="61"/>
      <c r="H809" s="24"/>
    </row>
    <row r="810">
      <c r="B810" s="8"/>
      <c r="C810" s="61"/>
      <c r="D810" s="61"/>
      <c r="E810" s="61"/>
      <c r="F810" s="61"/>
      <c r="H810" s="24"/>
    </row>
    <row r="811">
      <c r="B811" s="8"/>
      <c r="C811" s="61"/>
      <c r="D811" s="61"/>
      <c r="E811" s="61"/>
      <c r="F811" s="61"/>
      <c r="H811" s="24"/>
    </row>
    <row r="812">
      <c r="B812" s="8"/>
      <c r="C812" s="61"/>
      <c r="D812" s="61"/>
      <c r="E812" s="61"/>
      <c r="F812" s="61"/>
      <c r="H812" s="24"/>
    </row>
    <row r="813">
      <c r="B813" s="8"/>
      <c r="C813" s="61"/>
      <c r="D813" s="61"/>
      <c r="E813" s="61"/>
      <c r="F813" s="61"/>
      <c r="H813" s="24"/>
    </row>
    <row r="814">
      <c r="B814" s="8"/>
      <c r="C814" s="61"/>
      <c r="D814" s="61"/>
      <c r="E814" s="61"/>
      <c r="F814" s="61"/>
      <c r="H814" s="24"/>
    </row>
    <row r="815">
      <c r="B815" s="8"/>
      <c r="C815" s="61"/>
      <c r="D815" s="61"/>
      <c r="E815" s="61"/>
      <c r="F815" s="61"/>
      <c r="H815" s="24"/>
    </row>
    <row r="816">
      <c r="B816" s="8"/>
      <c r="C816" s="61"/>
      <c r="D816" s="61"/>
      <c r="E816" s="61"/>
      <c r="F816" s="61"/>
      <c r="H816" s="24"/>
    </row>
    <row r="817">
      <c r="B817" s="8"/>
      <c r="C817" s="61"/>
      <c r="D817" s="61"/>
      <c r="E817" s="61"/>
      <c r="F817" s="61"/>
      <c r="H817" s="24"/>
    </row>
    <row r="818">
      <c r="B818" s="8"/>
      <c r="C818" s="61"/>
      <c r="D818" s="61"/>
      <c r="E818" s="61"/>
      <c r="F818" s="61"/>
      <c r="H818" s="24"/>
    </row>
    <row r="819">
      <c r="B819" s="8"/>
      <c r="C819" s="61"/>
      <c r="D819" s="61"/>
      <c r="E819" s="61"/>
      <c r="F819" s="61"/>
      <c r="H819" s="24"/>
    </row>
    <row r="820">
      <c r="B820" s="8"/>
      <c r="C820" s="61"/>
      <c r="D820" s="61"/>
      <c r="E820" s="61"/>
      <c r="F820" s="61"/>
      <c r="H820" s="24"/>
    </row>
    <row r="821">
      <c r="B821" s="8"/>
      <c r="C821" s="61"/>
      <c r="D821" s="61"/>
      <c r="E821" s="61"/>
      <c r="F821" s="61"/>
      <c r="H821" s="24"/>
    </row>
    <row r="822">
      <c r="B822" s="8"/>
      <c r="C822" s="61"/>
      <c r="D822" s="61"/>
      <c r="E822" s="61"/>
      <c r="F822" s="61"/>
      <c r="H822" s="24"/>
    </row>
    <row r="823">
      <c r="B823" s="8"/>
      <c r="C823" s="61"/>
      <c r="D823" s="61"/>
      <c r="E823" s="61"/>
      <c r="F823" s="61"/>
      <c r="H823" s="24"/>
    </row>
    <row r="824">
      <c r="B824" s="8"/>
      <c r="C824" s="61"/>
      <c r="D824" s="61"/>
      <c r="E824" s="61"/>
      <c r="F824" s="61"/>
      <c r="H824" s="24"/>
    </row>
    <row r="825">
      <c r="B825" s="8"/>
      <c r="C825" s="61"/>
      <c r="D825" s="61"/>
      <c r="E825" s="61"/>
      <c r="F825" s="61"/>
      <c r="H825" s="24"/>
    </row>
    <row r="826">
      <c r="B826" s="8"/>
      <c r="C826" s="61"/>
      <c r="D826" s="61"/>
      <c r="E826" s="61"/>
      <c r="F826" s="61"/>
      <c r="H826" s="24"/>
    </row>
    <row r="827">
      <c r="B827" s="8"/>
      <c r="C827" s="61"/>
      <c r="D827" s="61"/>
      <c r="E827" s="61"/>
      <c r="F827" s="61"/>
      <c r="H827" s="24"/>
    </row>
    <row r="828">
      <c r="B828" s="8"/>
      <c r="C828" s="61"/>
      <c r="D828" s="61"/>
      <c r="E828" s="61"/>
      <c r="F828" s="61"/>
      <c r="H828" s="24"/>
    </row>
    <row r="829">
      <c r="B829" s="8"/>
      <c r="C829" s="61"/>
      <c r="D829" s="61"/>
      <c r="E829" s="61"/>
      <c r="F829" s="61"/>
      <c r="H829" s="24"/>
    </row>
    <row r="830">
      <c r="B830" s="8"/>
      <c r="C830" s="61"/>
      <c r="D830" s="61"/>
      <c r="E830" s="61"/>
      <c r="F830" s="61"/>
      <c r="H830" s="24"/>
    </row>
    <row r="831">
      <c r="B831" s="8"/>
      <c r="C831" s="61"/>
      <c r="D831" s="61"/>
      <c r="E831" s="61"/>
      <c r="F831" s="61"/>
      <c r="H831" s="24"/>
    </row>
    <row r="832">
      <c r="B832" s="8"/>
      <c r="C832" s="61"/>
      <c r="D832" s="61"/>
      <c r="E832" s="61"/>
      <c r="F832" s="61"/>
      <c r="H832" s="24"/>
    </row>
    <row r="833">
      <c r="B833" s="8"/>
      <c r="C833" s="61"/>
      <c r="D833" s="61"/>
      <c r="E833" s="61"/>
      <c r="F833" s="61"/>
      <c r="H833" s="24"/>
    </row>
    <row r="834">
      <c r="B834" s="8"/>
      <c r="C834" s="61"/>
      <c r="D834" s="61"/>
      <c r="E834" s="61"/>
      <c r="F834" s="61"/>
      <c r="H834" s="24"/>
    </row>
    <row r="835">
      <c r="B835" s="8"/>
      <c r="C835" s="61"/>
      <c r="D835" s="61"/>
      <c r="E835" s="61"/>
      <c r="F835" s="61"/>
      <c r="H835" s="24"/>
    </row>
    <row r="836">
      <c r="B836" s="8"/>
      <c r="C836" s="61"/>
      <c r="D836" s="61"/>
      <c r="E836" s="61"/>
      <c r="F836" s="61"/>
      <c r="H836" s="24"/>
    </row>
    <row r="837">
      <c r="B837" s="8"/>
      <c r="C837" s="61"/>
      <c r="D837" s="61"/>
      <c r="E837" s="61"/>
      <c r="F837" s="61"/>
      <c r="H837" s="24"/>
    </row>
    <row r="838">
      <c r="B838" s="8"/>
      <c r="C838" s="61"/>
      <c r="D838" s="61"/>
      <c r="E838" s="61"/>
      <c r="F838" s="61"/>
      <c r="H838" s="24"/>
    </row>
    <row r="839">
      <c r="B839" s="8"/>
      <c r="C839" s="61"/>
      <c r="D839" s="61"/>
      <c r="E839" s="61"/>
      <c r="F839" s="61"/>
      <c r="H839" s="24"/>
    </row>
    <row r="840">
      <c r="B840" s="8"/>
      <c r="C840" s="61"/>
      <c r="D840" s="61"/>
      <c r="E840" s="61"/>
      <c r="F840" s="61"/>
      <c r="H840" s="24"/>
    </row>
    <row r="841">
      <c r="B841" s="8"/>
      <c r="C841" s="61"/>
      <c r="D841" s="61"/>
      <c r="E841" s="61"/>
      <c r="F841" s="61"/>
      <c r="H841" s="24"/>
    </row>
    <row r="842">
      <c r="B842" s="8"/>
      <c r="C842" s="61"/>
      <c r="D842" s="61"/>
      <c r="E842" s="61"/>
      <c r="F842" s="61"/>
      <c r="H842" s="24"/>
    </row>
    <row r="843">
      <c r="B843" s="8"/>
      <c r="C843" s="61"/>
      <c r="D843" s="61"/>
      <c r="E843" s="61"/>
      <c r="F843" s="61"/>
      <c r="H843" s="24"/>
    </row>
    <row r="844">
      <c r="B844" s="8"/>
      <c r="C844" s="61"/>
      <c r="D844" s="61"/>
      <c r="E844" s="61"/>
      <c r="F844" s="61"/>
      <c r="H844" s="24"/>
    </row>
    <row r="845">
      <c r="B845" s="8"/>
      <c r="C845" s="61"/>
      <c r="D845" s="61"/>
      <c r="E845" s="61"/>
      <c r="F845" s="61"/>
      <c r="H845" s="24"/>
    </row>
    <row r="846">
      <c r="B846" s="8"/>
      <c r="C846" s="61"/>
      <c r="D846" s="61"/>
      <c r="E846" s="61"/>
      <c r="F846" s="61"/>
      <c r="H846" s="24"/>
    </row>
    <row r="847">
      <c r="B847" s="8"/>
      <c r="C847" s="61"/>
      <c r="D847" s="61"/>
      <c r="E847" s="61"/>
      <c r="F847" s="61"/>
      <c r="H847" s="24"/>
    </row>
    <row r="848">
      <c r="B848" s="8"/>
      <c r="C848" s="61"/>
      <c r="D848" s="61"/>
      <c r="E848" s="61"/>
      <c r="F848" s="61"/>
      <c r="H848" s="24"/>
    </row>
    <row r="849">
      <c r="B849" s="8"/>
      <c r="C849" s="61"/>
      <c r="D849" s="61"/>
      <c r="E849" s="61"/>
      <c r="F849" s="61"/>
      <c r="H849" s="24"/>
    </row>
    <row r="850">
      <c r="B850" s="8"/>
      <c r="C850" s="61"/>
      <c r="D850" s="61"/>
      <c r="E850" s="61"/>
      <c r="F850" s="61"/>
      <c r="H850" s="24"/>
    </row>
    <row r="851">
      <c r="B851" s="8"/>
      <c r="C851" s="61"/>
      <c r="D851" s="61"/>
      <c r="E851" s="61"/>
      <c r="F851" s="61"/>
      <c r="H851" s="24"/>
    </row>
    <row r="852">
      <c r="B852" s="8"/>
      <c r="C852" s="61"/>
      <c r="D852" s="61"/>
      <c r="E852" s="61"/>
      <c r="F852" s="61"/>
      <c r="H852" s="24"/>
    </row>
    <row r="853">
      <c r="B853" s="8"/>
      <c r="C853" s="61"/>
      <c r="D853" s="61"/>
      <c r="E853" s="61"/>
      <c r="F853" s="61"/>
      <c r="H853" s="24"/>
    </row>
    <row r="854">
      <c r="B854" s="8"/>
      <c r="C854" s="61"/>
      <c r="D854" s="61"/>
      <c r="E854" s="61"/>
      <c r="F854" s="61"/>
      <c r="H854" s="24"/>
    </row>
    <row r="855">
      <c r="B855" s="8"/>
      <c r="C855" s="61"/>
      <c r="D855" s="61"/>
      <c r="E855" s="61"/>
      <c r="F855" s="61"/>
      <c r="H855" s="24"/>
    </row>
    <row r="856">
      <c r="B856" s="8"/>
      <c r="C856" s="61"/>
      <c r="D856" s="61"/>
      <c r="E856" s="61"/>
      <c r="F856" s="61"/>
      <c r="H856" s="24"/>
    </row>
    <row r="857">
      <c r="B857" s="8"/>
      <c r="C857" s="61"/>
      <c r="D857" s="61"/>
      <c r="E857" s="61"/>
      <c r="F857" s="61"/>
      <c r="H857" s="24"/>
    </row>
    <row r="858">
      <c r="B858" s="8"/>
      <c r="C858" s="61"/>
      <c r="D858" s="61"/>
      <c r="E858" s="61"/>
      <c r="F858" s="61"/>
      <c r="H858" s="24"/>
    </row>
    <row r="859">
      <c r="B859" s="8"/>
      <c r="C859" s="61"/>
      <c r="D859" s="61"/>
      <c r="E859" s="61"/>
      <c r="F859" s="61"/>
      <c r="H859" s="24"/>
    </row>
    <row r="860">
      <c r="B860" s="8"/>
      <c r="C860" s="61"/>
      <c r="D860" s="61"/>
      <c r="E860" s="61"/>
      <c r="F860" s="61"/>
      <c r="H860" s="24"/>
    </row>
    <row r="861">
      <c r="B861" s="8"/>
      <c r="C861" s="61"/>
      <c r="D861" s="61"/>
      <c r="E861" s="61"/>
      <c r="F861" s="61"/>
      <c r="H861" s="24"/>
    </row>
    <row r="862">
      <c r="B862" s="8"/>
      <c r="C862" s="61"/>
      <c r="D862" s="61"/>
      <c r="E862" s="61"/>
      <c r="F862" s="61"/>
      <c r="H862" s="24"/>
    </row>
    <row r="863">
      <c r="B863" s="8"/>
      <c r="C863" s="61"/>
      <c r="D863" s="61"/>
      <c r="E863" s="61"/>
      <c r="F863" s="61"/>
      <c r="H863" s="24"/>
    </row>
    <row r="864">
      <c r="B864" s="8"/>
      <c r="C864" s="61"/>
      <c r="D864" s="61"/>
      <c r="E864" s="61"/>
      <c r="F864" s="61"/>
      <c r="H864" s="24"/>
    </row>
    <row r="865">
      <c r="B865" s="8"/>
      <c r="C865" s="61"/>
      <c r="D865" s="61"/>
      <c r="E865" s="61"/>
      <c r="F865" s="61"/>
      <c r="H865" s="24"/>
    </row>
    <row r="866">
      <c r="B866" s="8"/>
      <c r="C866" s="61"/>
      <c r="D866" s="61"/>
      <c r="E866" s="61"/>
      <c r="F866" s="61"/>
      <c r="H866" s="24"/>
    </row>
    <row r="867">
      <c r="B867" s="8"/>
      <c r="C867" s="61"/>
      <c r="D867" s="61"/>
      <c r="E867" s="61"/>
      <c r="F867" s="61"/>
      <c r="H867" s="24"/>
    </row>
    <row r="868">
      <c r="B868" s="8"/>
      <c r="C868" s="61"/>
      <c r="D868" s="61"/>
      <c r="E868" s="61"/>
      <c r="F868" s="61"/>
      <c r="H868" s="24"/>
    </row>
    <row r="869">
      <c r="B869" s="8"/>
      <c r="C869" s="61"/>
      <c r="D869" s="61"/>
      <c r="E869" s="61"/>
      <c r="F869" s="61"/>
      <c r="H869" s="24"/>
    </row>
    <row r="870">
      <c r="B870" s="8"/>
      <c r="C870" s="61"/>
      <c r="D870" s="61"/>
      <c r="E870" s="61"/>
      <c r="F870" s="61"/>
      <c r="H870" s="24"/>
    </row>
    <row r="871">
      <c r="B871" s="8"/>
      <c r="C871" s="61"/>
      <c r="D871" s="61"/>
      <c r="E871" s="61"/>
      <c r="F871" s="61"/>
      <c r="H871" s="24"/>
    </row>
    <row r="872">
      <c r="B872" s="8"/>
      <c r="C872" s="61"/>
      <c r="D872" s="61"/>
      <c r="E872" s="61"/>
      <c r="F872" s="61"/>
      <c r="H872" s="24"/>
    </row>
    <row r="873">
      <c r="B873" s="8"/>
      <c r="C873" s="61"/>
      <c r="D873" s="61"/>
      <c r="E873" s="61"/>
      <c r="F873" s="61"/>
      <c r="H873" s="24"/>
    </row>
    <row r="874">
      <c r="B874" s="8"/>
      <c r="C874" s="61"/>
      <c r="D874" s="61"/>
      <c r="E874" s="61"/>
      <c r="F874" s="61"/>
      <c r="H874" s="24"/>
    </row>
    <row r="875">
      <c r="B875" s="8"/>
      <c r="C875" s="61"/>
      <c r="D875" s="61"/>
      <c r="E875" s="61"/>
      <c r="F875" s="61"/>
      <c r="H875" s="24"/>
    </row>
    <row r="876">
      <c r="B876" s="8"/>
      <c r="C876" s="61"/>
      <c r="D876" s="61"/>
      <c r="E876" s="61"/>
      <c r="F876" s="61"/>
      <c r="H876" s="24"/>
    </row>
    <row r="877">
      <c r="B877" s="8"/>
      <c r="C877" s="61"/>
      <c r="D877" s="61"/>
      <c r="E877" s="61"/>
      <c r="F877" s="61"/>
      <c r="H877" s="24"/>
    </row>
    <row r="878">
      <c r="B878" s="8"/>
      <c r="C878" s="61"/>
      <c r="D878" s="61"/>
      <c r="E878" s="61"/>
      <c r="F878" s="61"/>
      <c r="H878" s="24"/>
    </row>
    <row r="879">
      <c r="B879" s="8"/>
      <c r="C879" s="61"/>
      <c r="D879" s="61"/>
      <c r="E879" s="61"/>
      <c r="F879" s="61"/>
      <c r="H879" s="24"/>
    </row>
    <row r="880">
      <c r="B880" s="8"/>
      <c r="C880" s="61"/>
      <c r="D880" s="61"/>
      <c r="E880" s="61"/>
      <c r="F880" s="61"/>
      <c r="H880" s="24"/>
    </row>
    <row r="881">
      <c r="B881" s="8"/>
      <c r="C881" s="61"/>
      <c r="D881" s="61"/>
      <c r="E881" s="61"/>
      <c r="F881" s="61"/>
      <c r="H881" s="24"/>
    </row>
    <row r="882">
      <c r="B882" s="8"/>
      <c r="C882" s="61"/>
      <c r="D882" s="61"/>
      <c r="E882" s="61"/>
      <c r="F882" s="61"/>
      <c r="H882" s="24"/>
    </row>
    <row r="883">
      <c r="B883" s="8"/>
      <c r="C883" s="61"/>
      <c r="D883" s="61"/>
      <c r="E883" s="61"/>
      <c r="F883" s="61"/>
      <c r="H883" s="24"/>
    </row>
    <row r="884">
      <c r="B884" s="8"/>
      <c r="C884" s="61"/>
      <c r="D884" s="61"/>
      <c r="E884" s="61"/>
      <c r="F884" s="61"/>
      <c r="H884" s="24"/>
    </row>
    <row r="885">
      <c r="B885" s="8"/>
      <c r="C885" s="61"/>
      <c r="D885" s="61"/>
      <c r="E885" s="61"/>
      <c r="F885" s="61"/>
      <c r="H885" s="24"/>
    </row>
    <row r="886">
      <c r="B886" s="8"/>
      <c r="C886" s="61"/>
      <c r="D886" s="61"/>
      <c r="E886" s="61"/>
      <c r="F886" s="61"/>
      <c r="H886" s="24"/>
    </row>
    <row r="887">
      <c r="B887" s="8"/>
      <c r="C887" s="61"/>
      <c r="D887" s="61"/>
      <c r="E887" s="61"/>
      <c r="F887" s="61"/>
      <c r="H887" s="24"/>
    </row>
    <row r="888">
      <c r="B888" s="8"/>
      <c r="C888" s="61"/>
      <c r="D888" s="61"/>
      <c r="E888" s="61"/>
      <c r="F888" s="61"/>
      <c r="H888" s="24"/>
    </row>
    <row r="889">
      <c r="B889" s="8"/>
      <c r="C889" s="61"/>
      <c r="D889" s="61"/>
      <c r="E889" s="61"/>
      <c r="F889" s="61"/>
      <c r="H889" s="24"/>
    </row>
    <row r="890">
      <c r="B890" s="8"/>
      <c r="C890" s="61"/>
      <c r="D890" s="61"/>
      <c r="E890" s="61"/>
      <c r="F890" s="61"/>
      <c r="H890" s="24"/>
    </row>
    <row r="891">
      <c r="B891" s="8"/>
      <c r="C891" s="61"/>
      <c r="D891" s="61"/>
      <c r="E891" s="61"/>
      <c r="F891" s="61"/>
      <c r="H891" s="24"/>
    </row>
    <row r="892">
      <c r="B892" s="8"/>
      <c r="C892" s="61"/>
      <c r="D892" s="61"/>
      <c r="E892" s="61"/>
      <c r="F892" s="61"/>
      <c r="H892" s="24"/>
    </row>
    <row r="893">
      <c r="B893" s="8"/>
      <c r="C893" s="61"/>
      <c r="D893" s="61"/>
      <c r="E893" s="61"/>
      <c r="F893" s="61"/>
      <c r="H893" s="24"/>
    </row>
    <row r="894">
      <c r="B894" s="8"/>
      <c r="C894" s="61"/>
      <c r="D894" s="61"/>
      <c r="E894" s="61"/>
      <c r="F894" s="61"/>
      <c r="H894" s="24"/>
    </row>
    <row r="895">
      <c r="B895" s="8"/>
      <c r="C895" s="61"/>
      <c r="D895" s="61"/>
      <c r="E895" s="61"/>
      <c r="F895" s="61"/>
      <c r="H895" s="24"/>
    </row>
    <row r="896">
      <c r="B896" s="8"/>
      <c r="C896" s="61"/>
      <c r="D896" s="61"/>
      <c r="E896" s="61"/>
      <c r="F896" s="61"/>
      <c r="H896" s="24"/>
    </row>
    <row r="897">
      <c r="B897" s="8"/>
      <c r="C897" s="61"/>
      <c r="D897" s="61"/>
      <c r="E897" s="61"/>
      <c r="F897" s="61"/>
      <c r="H897" s="24"/>
    </row>
    <row r="898">
      <c r="B898" s="8"/>
      <c r="C898" s="61"/>
      <c r="D898" s="61"/>
      <c r="E898" s="61"/>
      <c r="F898" s="61"/>
      <c r="H898" s="24"/>
    </row>
    <row r="899">
      <c r="B899" s="8"/>
      <c r="C899" s="61"/>
      <c r="D899" s="61"/>
      <c r="E899" s="61"/>
      <c r="F899" s="61"/>
      <c r="H899" s="24"/>
    </row>
    <row r="900">
      <c r="B900" s="8"/>
      <c r="C900" s="61"/>
      <c r="D900" s="61"/>
      <c r="E900" s="61"/>
      <c r="F900" s="61"/>
      <c r="H900" s="24"/>
    </row>
    <row r="901">
      <c r="B901" s="8"/>
      <c r="C901" s="61"/>
      <c r="D901" s="61"/>
      <c r="E901" s="61"/>
      <c r="F901" s="61"/>
      <c r="H901" s="24"/>
    </row>
    <row r="902">
      <c r="B902" s="8"/>
      <c r="C902" s="61"/>
      <c r="D902" s="61"/>
      <c r="E902" s="61"/>
      <c r="F902" s="61"/>
      <c r="H902" s="24"/>
    </row>
    <row r="903">
      <c r="B903" s="8"/>
      <c r="C903" s="61"/>
      <c r="D903" s="61"/>
      <c r="E903" s="61"/>
      <c r="F903" s="61"/>
      <c r="H903" s="24"/>
    </row>
    <row r="904">
      <c r="B904" s="8"/>
      <c r="C904" s="61"/>
      <c r="D904" s="61"/>
      <c r="E904" s="61"/>
      <c r="F904" s="61"/>
      <c r="H904" s="24"/>
    </row>
    <row r="905">
      <c r="B905" s="8"/>
      <c r="C905" s="61"/>
      <c r="D905" s="61"/>
      <c r="E905" s="61"/>
      <c r="F905" s="61"/>
      <c r="H905" s="24"/>
    </row>
    <row r="906">
      <c r="B906" s="8"/>
      <c r="C906" s="61"/>
      <c r="D906" s="61"/>
      <c r="E906" s="61"/>
      <c r="F906" s="61"/>
      <c r="H906" s="24"/>
    </row>
    <row r="907">
      <c r="B907" s="8"/>
      <c r="C907" s="61"/>
      <c r="D907" s="61"/>
      <c r="E907" s="61"/>
      <c r="F907" s="61"/>
      <c r="H907" s="24"/>
    </row>
    <row r="908">
      <c r="B908" s="8"/>
      <c r="C908" s="61"/>
      <c r="D908" s="61"/>
      <c r="E908" s="61"/>
      <c r="F908" s="61"/>
      <c r="H908" s="24"/>
    </row>
    <row r="909">
      <c r="B909" s="8"/>
      <c r="C909" s="61"/>
      <c r="D909" s="61"/>
      <c r="E909" s="61"/>
      <c r="F909" s="61"/>
      <c r="H909" s="24"/>
    </row>
    <row r="910">
      <c r="B910" s="8"/>
      <c r="C910" s="61"/>
      <c r="D910" s="61"/>
      <c r="E910" s="61"/>
      <c r="F910" s="61"/>
      <c r="H910" s="24"/>
    </row>
    <row r="911">
      <c r="B911" s="8"/>
      <c r="C911" s="61"/>
      <c r="D911" s="61"/>
      <c r="E911" s="61"/>
      <c r="F911" s="61"/>
      <c r="H911" s="24"/>
    </row>
    <row r="912">
      <c r="B912" s="8"/>
      <c r="C912" s="61"/>
      <c r="D912" s="61"/>
      <c r="E912" s="61"/>
      <c r="F912" s="61"/>
      <c r="H912" s="24"/>
    </row>
    <row r="913">
      <c r="B913" s="8"/>
      <c r="C913" s="61"/>
      <c r="D913" s="61"/>
      <c r="E913" s="61"/>
      <c r="F913" s="61"/>
      <c r="H913" s="24"/>
    </row>
    <row r="914">
      <c r="B914" s="8"/>
      <c r="C914" s="61"/>
      <c r="D914" s="61"/>
      <c r="E914" s="61"/>
      <c r="F914" s="61"/>
      <c r="H914" s="24"/>
    </row>
    <row r="915">
      <c r="B915" s="8"/>
      <c r="C915" s="61"/>
      <c r="D915" s="61"/>
      <c r="E915" s="61"/>
      <c r="F915" s="61"/>
      <c r="H915" s="24"/>
    </row>
    <row r="916">
      <c r="B916" s="8"/>
      <c r="C916" s="61"/>
      <c r="D916" s="61"/>
      <c r="E916" s="61"/>
      <c r="F916" s="61"/>
      <c r="H916" s="24"/>
    </row>
    <row r="917">
      <c r="B917" s="8"/>
      <c r="C917" s="61"/>
      <c r="D917" s="61"/>
      <c r="E917" s="61"/>
      <c r="F917" s="61"/>
      <c r="H917" s="24"/>
    </row>
    <row r="918">
      <c r="B918" s="8"/>
      <c r="C918" s="61"/>
      <c r="D918" s="61"/>
      <c r="E918" s="61"/>
      <c r="F918" s="61"/>
      <c r="H918" s="24"/>
    </row>
    <row r="919">
      <c r="B919" s="8"/>
      <c r="C919" s="61"/>
      <c r="D919" s="61"/>
      <c r="E919" s="61"/>
      <c r="F919" s="61"/>
      <c r="H919" s="24"/>
    </row>
    <row r="920">
      <c r="B920" s="8"/>
      <c r="C920" s="61"/>
      <c r="D920" s="61"/>
      <c r="E920" s="61"/>
      <c r="F920" s="61"/>
      <c r="H920" s="24"/>
    </row>
    <row r="921">
      <c r="B921" s="8"/>
      <c r="C921" s="61"/>
      <c r="D921" s="61"/>
      <c r="E921" s="61"/>
      <c r="F921" s="61"/>
      <c r="H921" s="24"/>
    </row>
    <row r="922">
      <c r="B922" s="8"/>
      <c r="C922" s="61"/>
      <c r="D922" s="61"/>
      <c r="E922" s="61"/>
      <c r="F922" s="61"/>
      <c r="H922" s="24"/>
    </row>
    <row r="923">
      <c r="B923" s="8"/>
      <c r="C923" s="61"/>
      <c r="D923" s="61"/>
      <c r="E923" s="61"/>
      <c r="F923" s="61"/>
      <c r="H923" s="24"/>
    </row>
    <row r="924">
      <c r="B924" s="8"/>
      <c r="C924" s="61"/>
      <c r="D924" s="61"/>
      <c r="E924" s="61"/>
      <c r="F924" s="61"/>
      <c r="H924" s="24"/>
    </row>
    <row r="925">
      <c r="B925" s="8"/>
      <c r="C925" s="61"/>
      <c r="D925" s="61"/>
      <c r="E925" s="61"/>
      <c r="F925" s="61"/>
      <c r="H925" s="24"/>
    </row>
    <row r="926">
      <c r="B926" s="8"/>
      <c r="C926" s="61"/>
      <c r="D926" s="61"/>
      <c r="E926" s="61"/>
      <c r="F926" s="61"/>
      <c r="H926" s="24"/>
    </row>
    <row r="927">
      <c r="B927" s="8"/>
      <c r="C927" s="61"/>
      <c r="D927" s="61"/>
      <c r="E927" s="61"/>
      <c r="F927" s="61"/>
      <c r="H927" s="24"/>
    </row>
    <row r="928">
      <c r="B928" s="8"/>
      <c r="C928" s="61"/>
      <c r="D928" s="61"/>
      <c r="E928" s="61"/>
      <c r="F928" s="61"/>
      <c r="H928" s="24"/>
    </row>
    <row r="929">
      <c r="B929" s="8"/>
      <c r="C929" s="61"/>
      <c r="D929" s="61"/>
      <c r="E929" s="61"/>
      <c r="F929" s="61"/>
      <c r="H929" s="24"/>
    </row>
    <row r="930">
      <c r="B930" s="8"/>
      <c r="C930" s="61"/>
      <c r="D930" s="61"/>
      <c r="E930" s="61"/>
      <c r="F930" s="61"/>
      <c r="H930" s="24"/>
    </row>
    <row r="931">
      <c r="B931" s="8"/>
      <c r="C931" s="61"/>
      <c r="D931" s="61"/>
      <c r="E931" s="61"/>
      <c r="F931" s="61"/>
      <c r="H931" s="24"/>
    </row>
    <row r="932">
      <c r="B932" s="8"/>
      <c r="C932" s="61"/>
      <c r="D932" s="61"/>
      <c r="E932" s="61"/>
      <c r="F932" s="61"/>
      <c r="H932" s="24"/>
    </row>
    <row r="933">
      <c r="B933" s="8"/>
      <c r="C933" s="61"/>
      <c r="D933" s="61"/>
      <c r="E933" s="61"/>
      <c r="F933" s="61"/>
      <c r="H933" s="24"/>
    </row>
    <row r="934">
      <c r="B934" s="8"/>
      <c r="C934" s="61"/>
      <c r="D934" s="61"/>
      <c r="E934" s="61"/>
      <c r="F934" s="61"/>
      <c r="H934" s="24"/>
    </row>
    <row r="935">
      <c r="B935" s="8"/>
      <c r="C935" s="61"/>
      <c r="D935" s="61"/>
      <c r="E935" s="61"/>
      <c r="F935" s="61"/>
      <c r="H935" s="24"/>
    </row>
    <row r="936">
      <c r="B936" s="8"/>
      <c r="C936" s="61"/>
      <c r="D936" s="61"/>
      <c r="E936" s="61"/>
      <c r="F936" s="61"/>
      <c r="H936" s="24"/>
    </row>
    <row r="937">
      <c r="B937" s="8"/>
      <c r="C937" s="61"/>
      <c r="D937" s="61"/>
      <c r="E937" s="61"/>
      <c r="F937" s="61"/>
      <c r="H937" s="24"/>
    </row>
    <row r="938">
      <c r="B938" s="8"/>
      <c r="C938" s="61"/>
      <c r="D938" s="61"/>
      <c r="E938" s="61"/>
      <c r="F938" s="61"/>
      <c r="H938" s="24"/>
    </row>
    <row r="939">
      <c r="B939" s="8"/>
      <c r="C939" s="61"/>
      <c r="D939" s="61"/>
      <c r="E939" s="61"/>
      <c r="F939" s="61"/>
      <c r="H939" s="24"/>
    </row>
    <row r="940">
      <c r="B940" s="8"/>
      <c r="C940" s="61"/>
      <c r="D940" s="61"/>
      <c r="E940" s="61"/>
      <c r="F940" s="61"/>
      <c r="H940" s="24"/>
    </row>
    <row r="941">
      <c r="B941" s="8"/>
      <c r="C941" s="61"/>
      <c r="D941" s="61"/>
      <c r="E941" s="61"/>
      <c r="F941" s="61"/>
      <c r="H941" s="24"/>
    </row>
    <row r="942">
      <c r="B942" s="8"/>
      <c r="C942" s="61"/>
      <c r="D942" s="61"/>
      <c r="E942" s="61"/>
      <c r="F942" s="61"/>
      <c r="H942" s="24"/>
    </row>
    <row r="943">
      <c r="B943" s="8"/>
      <c r="C943" s="61"/>
      <c r="D943" s="61"/>
      <c r="E943" s="61"/>
      <c r="F943" s="61"/>
      <c r="H943" s="24"/>
    </row>
    <row r="944">
      <c r="B944" s="8"/>
      <c r="C944" s="61"/>
      <c r="D944" s="61"/>
      <c r="E944" s="61"/>
      <c r="F944" s="61"/>
      <c r="H944" s="24"/>
    </row>
    <row r="945">
      <c r="B945" s="8"/>
      <c r="C945" s="61"/>
      <c r="D945" s="61"/>
      <c r="E945" s="61"/>
      <c r="F945" s="61"/>
      <c r="H945" s="24"/>
    </row>
    <row r="946">
      <c r="B946" s="8"/>
      <c r="C946" s="61"/>
      <c r="D946" s="61"/>
      <c r="E946" s="61"/>
      <c r="F946" s="61"/>
      <c r="H946" s="24"/>
    </row>
    <row r="947">
      <c r="B947" s="8"/>
      <c r="C947" s="61"/>
      <c r="D947" s="61"/>
      <c r="E947" s="61"/>
      <c r="F947" s="61"/>
      <c r="H947" s="24"/>
    </row>
    <row r="948">
      <c r="B948" s="8"/>
      <c r="C948" s="61"/>
      <c r="D948" s="61"/>
      <c r="E948" s="61"/>
      <c r="F948" s="61"/>
      <c r="H948" s="24"/>
    </row>
    <row r="949">
      <c r="B949" s="8"/>
      <c r="C949" s="61"/>
      <c r="D949" s="61"/>
      <c r="E949" s="61"/>
      <c r="F949" s="61"/>
      <c r="H949" s="24"/>
    </row>
    <row r="950">
      <c r="B950" s="8"/>
      <c r="C950" s="61"/>
      <c r="D950" s="61"/>
      <c r="E950" s="61"/>
      <c r="F950" s="61"/>
      <c r="H950" s="24"/>
    </row>
    <row r="951">
      <c r="B951" s="8"/>
      <c r="C951" s="61"/>
      <c r="D951" s="61"/>
      <c r="E951" s="61"/>
      <c r="F951" s="61"/>
      <c r="H951" s="24"/>
    </row>
    <row r="952">
      <c r="B952" s="8"/>
      <c r="C952" s="61"/>
      <c r="D952" s="61"/>
      <c r="E952" s="61"/>
      <c r="F952" s="61"/>
      <c r="H952" s="24"/>
    </row>
    <row r="953">
      <c r="B953" s="8"/>
      <c r="C953" s="61"/>
      <c r="D953" s="61"/>
      <c r="E953" s="61"/>
      <c r="F953" s="61"/>
      <c r="H953" s="24"/>
    </row>
    <row r="954">
      <c r="B954" s="8"/>
      <c r="C954" s="61"/>
      <c r="D954" s="61"/>
      <c r="E954" s="61"/>
      <c r="F954" s="61"/>
      <c r="H954" s="24"/>
    </row>
    <row r="955">
      <c r="B955" s="8"/>
      <c r="C955" s="61"/>
      <c r="D955" s="61"/>
      <c r="E955" s="61"/>
      <c r="F955" s="61"/>
      <c r="H955" s="24"/>
    </row>
    <row r="956">
      <c r="B956" s="8"/>
      <c r="C956" s="61"/>
      <c r="D956" s="61"/>
      <c r="E956" s="61"/>
      <c r="F956" s="61"/>
      <c r="H956" s="24"/>
    </row>
    <row r="957">
      <c r="B957" s="8"/>
      <c r="C957" s="61"/>
      <c r="D957" s="61"/>
      <c r="E957" s="61"/>
      <c r="F957" s="61"/>
      <c r="H957" s="24"/>
    </row>
    <row r="958">
      <c r="B958" s="8"/>
      <c r="C958" s="61"/>
      <c r="D958" s="61"/>
      <c r="E958" s="61"/>
      <c r="F958" s="61"/>
      <c r="H958" s="24"/>
    </row>
    <row r="959">
      <c r="B959" s="8"/>
      <c r="C959" s="61"/>
      <c r="D959" s="61"/>
      <c r="E959" s="61"/>
      <c r="F959" s="61"/>
      <c r="H959" s="24"/>
    </row>
    <row r="960">
      <c r="B960" s="8"/>
      <c r="C960" s="61"/>
      <c r="D960" s="61"/>
      <c r="E960" s="61"/>
      <c r="F960" s="61"/>
      <c r="H960" s="24"/>
    </row>
    <row r="961">
      <c r="B961" s="8"/>
      <c r="C961" s="61"/>
      <c r="D961" s="61"/>
      <c r="E961" s="61"/>
      <c r="F961" s="61"/>
      <c r="H961" s="24"/>
    </row>
    <row r="962">
      <c r="B962" s="8"/>
      <c r="C962" s="61"/>
      <c r="D962" s="61"/>
      <c r="E962" s="61"/>
      <c r="F962" s="61"/>
      <c r="H962" s="24"/>
    </row>
    <row r="963">
      <c r="B963" s="8"/>
      <c r="C963" s="61"/>
      <c r="D963" s="61"/>
      <c r="E963" s="61"/>
      <c r="F963" s="61"/>
      <c r="H963" s="24"/>
    </row>
    <row r="964">
      <c r="B964" s="8"/>
      <c r="C964" s="61"/>
      <c r="D964" s="61"/>
      <c r="E964" s="61"/>
      <c r="F964" s="61"/>
      <c r="H964" s="24"/>
    </row>
    <row r="965">
      <c r="B965" s="8"/>
      <c r="C965" s="61"/>
      <c r="D965" s="61"/>
      <c r="E965" s="61"/>
      <c r="F965" s="61"/>
      <c r="H965" s="24"/>
    </row>
    <row r="966">
      <c r="B966" s="8"/>
      <c r="C966" s="61"/>
      <c r="D966" s="61"/>
      <c r="E966" s="61"/>
      <c r="F966" s="61"/>
      <c r="H966" s="24"/>
    </row>
    <row r="967">
      <c r="B967" s="8"/>
      <c r="C967" s="61"/>
      <c r="D967" s="61"/>
      <c r="E967" s="61"/>
      <c r="F967" s="61"/>
      <c r="H967" s="24"/>
    </row>
    <row r="968">
      <c r="B968" s="8"/>
      <c r="C968" s="61"/>
      <c r="D968" s="61"/>
      <c r="E968" s="61"/>
      <c r="F968" s="61"/>
      <c r="H968" s="24"/>
    </row>
    <row r="969">
      <c r="B969" s="8"/>
      <c r="C969" s="61"/>
      <c r="D969" s="61"/>
      <c r="E969" s="61"/>
      <c r="F969" s="61"/>
      <c r="H969" s="24"/>
    </row>
    <row r="970">
      <c r="B970" s="8"/>
      <c r="C970" s="61"/>
      <c r="D970" s="61"/>
      <c r="E970" s="61"/>
      <c r="F970" s="61"/>
      <c r="H970" s="24"/>
    </row>
    <row r="971">
      <c r="B971" s="8"/>
      <c r="C971" s="61"/>
      <c r="D971" s="61"/>
      <c r="E971" s="61"/>
      <c r="F971" s="61"/>
      <c r="H971" s="24"/>
    </row>
    <row r="972">
      <c r="B972" s="8"/>
      <c r="C972" s="61"/>
      <c r="D972" s="61"/>
      <c r="E972" s="61"/>
      <c r="F972" s="61"/>
      <c r="H972" s="24"/>
    </row>
    <row r="973">
      <c r="B973" s="8"/>
      <c r="C973" s="61"/>
      <c r="D973" s="61"/>
      <c r="E973" s="61"/>
      <c r="F973" s="61"/>
      <c r="H973" s="24"/>
    </row>
    <row r="974">
      <c r="B974" s="8"/>
      <c r="C974" s="61"/>
      <c r="D974" s="61"/>
      <c r="E974" s="61"/>
      <c r="F974" s="61"/>
      <c r="H974" s="24"/>
    </row>
    <row r="975">
      <c r="B975" s="8"/>
      <c r="C975" s="61"/>
      <c r="D975" s="61"/>
      <c r="E975" s="61"/>
      <c r="F975" s="61"/>
      <c r="H975" s="24"/>
    </row>
    <row r="976">
      <c r="B976" s="8"/>
      <c r="C976" s="61"/>
      <c r="D976" s="61"/>
      <c r="E976" s="61"/>
      <c r="F976" s="61"/>
      <c r="H976" s="24"/>
    </row>
    <row r="977">
      <c r="B977" s="8"/>
      <c r="C977" s="61"/>
      <c r="D977" s="61"/>
      <c r="E977" s="61"/>
      <c r="F977" s="61"/>
      <c r="H977" s="24"/>
    </row>
    <row r="978">
      <c r="B978" s="8"/>
      <c r="C978" s="61"/>
      <c r="D978" s="61"/>
      <c r="E978" s="61"/>
      <c r="F978" s="61"/>
      <c r="H978" s="24"/>
    </row>
    <row r="979">
      <c r="B979" s="8"/>
      <c r="C979" s="61"/>
      <c r="D979" s="61"/>
      <c r="E979" s="61"/>
      <c r="F979" s="61"/>
      <c r="H979" s="24"/>
    </row>
    <row r="980">
      <c r="B980" s="8"/>
      <c r="C980" s="61"/>
      <c r="D980" s="61"/>
      <c r="E980" s="61"/>
      <c r="F980" s="61"/>
      <c r="H980" s="24"/>
    </row>
    <row r="981">
      <c r="B981" s="8"/>
      <c r="C981" s="61"/>
      <c r="D981" s="61"/>
      <c r="E981" s="61"/>
      <c r="F981" s="61"/>
      <c r="H981" s="24"/>
    </row>
    <row r="982">
      <c r="B982" s="8"/>
      <c r="C982" s="61"/>
      <c r="D982" s="61"/>
      <c r="E982" s="61"/>
      <c r="F982" s="61"/>
      <c r="H982" s="24"/>
    </row>
    <row r="983">
      <c r="B983" s="8"/>
      <c r="C983" s="61"/>
      <c r="D983" s="61"/>
      <c r="E983" s="61"/>
      <c r="F983" s="61"/>
      <c r="H983" s="24"/>
    </row>
    <row r="984">
      <c r="B984" s="8"/>
      <c r="C984" s="61"/>
      <c r="D984" s="61"/>
      <c r="E984" s="61"/>
      <c r="F984" s="61"/>
      <c r="H984" s="24"/>
    </row>
    <row r="985">
      <c r="B985" s="8"/>
      <c r="C985" s="61"/>
      <c r="D985" s="61"/>
      <c r="E985" s="61"/>
      <c r="F985" s="61"/>
      <c r="H985" s="24"/>
    </row>
    <row r="986">
      <c r="B986" s="8"/>
      <c r="C986" s="61"/>
      <c r="D986" s="61"/>
      <c r="E986" s="61"/>
      <c r="F986" s="61"/>
      <c r="H986" s="24"/>
    </row>
    <row r="987">
      <c r="B987" s="8"/>
      <c r="C987" s="61"/>
      <c r="D987" s="61"/>
      <c r="E987" s="61"/>
      <c r="F987" s="61"/>
      <c r="H987" s="24"/>
    </row>
    <row r="988">
      <c r="B988" s="8"/>
      <c r="C988" s="61"/>
      <c r="D988" s="61"/>
      <c r="E988" s="61"/>
      <c r="F988" s="61"/>
      <c r="H988" s="24"/>
    </row>
    <row r="989">
      <c r="B989" s="8"/>
      <c r="C989" s="61"/>
      <c r="D989" s="61"/>
      <c r="E989" s="61"/>
      <c r="F989" s="61"/>
      <c r="H989" s="24"/>
    </row>
    <row r="990">
      <c r="B990" s="8"/>
      <c r="C990" s="61"/>
      <c r="D990" s="61"/>
      <c r="E990" s="61"/>
      <c r="F990" s="61"/>
      <c r="H990" s="24"/>
    </row>
    <row r="991">
      <c r="B991" s="8"/>
      <c r="C991" s="61"/>
      <c r="D991" s="61"/>
      <c r="E991" s="61"/>
      <c r="F991" s="61"/>
      <c r="H991" s="24"/>
    </row>
    <row r="992">
      <c r="B992" s="8"/>
      <c r="C992" s="61"/>
      <c r="D992" s="61"/>
      <c r="E992" s="61"/>
      <c r="F992" s="61"/>
      <c r="H992" s="24"/>
    </row>
    <row r="993">
      <c r="B993" s="8"/>
      <c r="C993" s="61"/>
      <c r="D993" s="61"/>
      <c r="E993" s="61"/>
      <c r="F993" s="61"/>
      <c r="H993" s="24"/>
    </row>
    <row r="994">
      <c r="B994" s="8"/>
      <c r="C994" s="61"/>
      <c r="D994" s="61"/>
      <c r="E994" s="61"/>
      <c r="F994" s="61"/>
      <c r="H994" s="24"/>
    </row>
    <row r="995">
      <c r="B995" s="8"/>
      <c r="C995" s="61"/>
      <c r="D995" s="61"/>
      <c r="E995" s="61"/>
      <c r="F995" s="61"/>
      <c r="H995" s="24"/>
    </row>
    <row r="996">
      <c r="B996" s="8"/>
      <c r="C996" s="61"/>
      <c r="D996" s="61"/>
      <c r="E996" s="61"/>
      <c r="F996" s="61"/>
      <c r="H996" s="24"/>
    </row>
    <row r="997">
      <c r="B997" s="8"/>
      <c r="C997" s="61"/>
      <c r="D997" s="61"/>
      <c r="E997" s="61"/>
      <c r="F997" s="61"/>
      <c r="H997" s="24"/>
    </row>
    <row r="998">
      <c r="B998" s="8"/>
      <c r="C998" s="61"/>
      <c r="D998" s="61"/>
      <c r="E998" s="61"/>
      <c r="F998" s="61"/>
      <c r="H998" s="24"/>
    </row>
    <row r="999">
      <c r="B999" s="8"/>
      <c r="C999" s="61"/>
      <c r="D999" s="61"/>
      <c r="E999" s="61"/>
      <c r="F999" s="61"/>
      <c r="H999" s="24"/>
    </row>
    <row r="1000">
      <c r="B1000" s="8"/>
      <c r="C1000" s="61"/>
      <c r="D1000" s="61"/>
      <c r="E1000" s="61"/>
      <c r="F1000" s="61"/>
      <c r="H1000" s="24"/>
    </row>
    <row r="1001">
      <c r="B1001" s="8"/>
      <c r="C1001" s="61"/>
      <c r="D1001" s="61"/>
      <c r="E1001" s="61"/>
      <c r="F1001" s="61"/>
      <c r="H1001" s="24"/>
    </row>
    <row r="1002">
      <c r="B1002" s="8"/>
      <c r="C1002" s="61"/>
      <c r="D1002" s="61"/>
      <c r="E1002" s="61"/>
      <c r="F1002" s="61"/>
      <c r="H1002" s="24"/>
    </row>
    <row r="1003">
      <c r="B1003" s="8"/>
      <c r="C1003" s="61"/>
      <c r="D1003" s="61"/>
      <c r="E1003" s="61"/>
      <c r="F1003" s="61"/>
      <c r="H1003" s="24"/>
    </row>
    <row r="1004">
      <c r="B1004" s="8"/>
      <c r="C1004" s="61"/>
      <c r="D1004" s="61"/>
      <c r="E1004" s="61"/>
      <c r="F1004" s="61"/>
      <c r="H1004" s="24"/>
    </row>
    <row r="1005">
      <c r="B1005" s="8"/>
      <c r="C1005" s="61"/>
      <c r="D1005" s="61"/>
      <c r="E1005" s="61"/>
      <c r="F1005" s="61"/>
      <c r="H1005" s="24"/>
    </row>
    <row r="1006">
      <c r="B1006" s="8"/>
      <c r="C1006" s="61"/>
      <c r="D1006" s="61"/>
      <c r="E1006" s="61"/>
      <c r="F1006" s="61"/>
      <c r="H1006" s="24"/>
    </row>
  </sheetData>
  <dataValidations>
    <dataValidation type="list" allowBlank="1" showErrorMessage="1" sqref="I2:I100">
      <formula1>"Con Seña,Pago Total,Sin seña"</formula1>
    </dataValidation>
    <dataValidation type="list" allowBlank="1" showErrorMessage="1" sqref="H2:H1006">
      <formula1>"Sin desayuno,Con desayuno,Media pensión"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13.5"/>
    <col customWidth="1" min="7" max="7" width="9.5"/>
    <col customWidth="1" min="9" max="9" width="19.38"/>
  </cols>
  <sheetData>
    <row r="1">
      <c r="A1" s="4" t="s">
        <v>7</v>
      </c>
      <c r="B1" s="7">
        <v>46082.0</v>
      </c>
      <c r="D1" s="8"/>
    </row>
    <row r="2">
      <c r="A2" s="9"/>
      <c r="B2" s="9"/>
      <c r="D2" s="8"/>
    </row>
    <row r="3">
      <c r="A3" s="12" t="s">
        <v>34</v>
      </c>
      <c r="B3" s="22" t="str">
        <f>SUMIFS(
Reservas!G:G,
Reservas!E:E,"&lt;="&amp;B1-1,
Reservas!F:F,"&gt;"&amp;B1-1,
Reservas!H:H,"&lt;&gt;Sin desayuno"
)</f>
        <v>#N/A</v>
      </c>
      <c r="D3" s="8"/>
    </row>
    <row r="4">
      <c r="A4" s="12" t="s">
        <v>123</v>
      </c>
      <c r="B4" s="12" t="str">
        <f>SUMIFS(
Reservas!G:G,
Reservas!E:E,"&lt;="&amp;B1,
Reservas!F:F,"&gt;"&amp;B1,
Reservas!H:H,"Media pensión"
)</f>
        <v>#N/A</v>
      </c>
      <c r="D4" s="8"/>
      <c r="K4" s="26" t="s">
        <v>137</v>
      </c>
      <c r="Q4" s="26" t="s">
        <v>142</v>
      </c>
    </row>
    <row r="5">
      <c r="A5" s="12" t="s">
        <v>145</v>
      </c>
      <c r="B5" s="12" t="str">
        <f>SUMIFS(Reservas!G:G,Reservas!E:E,"&lt;="&amp;B1,Reservas!F:F,"&gt;"&amp;B1)</f>
        <v>#N/A</v>
      </c>
      <c r="D5" s="8"/>
      <c r="K5" s="32" t="s">
        <v>1</v>
      </c>
      <c r="L5" s="32" t="s">
        <v>168</v>
      </c>
      <c r="M5" s="32" t="s">
        <v>169</v>
      </c>
      <c r="N5" s="32" t="s">
        <v>173</v>
      </c>
      <c r="O5" s="32" t="s">
        <v>9</v>
      </c>
      <c r="Q5" s="35" t="s">
        <v>1</v>
      </c>
      <c r="R5" s="35" t="s">
        <v>168</v>
      </c>
      <c r="S5" s="35" t="s">
        <v>169</v>
      </c>
      <c r="T5" s="35" t="s">
        <v>173</v>
      </c>
      <c r="U5" s="35" t="s">
        <v>9</v>
      </c>
    </row>
    <row r="6">
      <c r="A6" s="12" t="s">
        <v>180</v>
      </c>
      <c r="B6" s="22" t="str">
        <f>SUMIF(Habitaciones!C:C,"SI",Habitaciones!B:B)</f>
        <v>#N/A</v>
      </c>
      <c r="D6" s="8"/>
      <c r="K6" s="24" t="str">
        <f>IFERROR(__xludf.DUMMYFUNCTION("IFERROR(
 FILTER(
  {Reservas!B:B,Reservas!C:C,Reservas!D:D,Reservas!G:G,Reservas!H:H},
  INT(Reservas!E:E)=INT(B1)
 ),
 ""Sin ingresos hoy""
)"),"Sin ingresos hoy")</f>
        <v>Sin ingresos hoy</v>
      </c>
      <c r="L6" s="24"/>
      <c r="M6" s="24"/>
      <c r="N6" s="24"/>
      <c r="O6" s="24"/>
      <c r="Q6" s="24" t="str">
        <f>IFERROR(__xludf.DUMMYFUNCTION("IFERROR(
 FILTER(
  {Reservas!B:B,Reservas!C:C,Reservas!D:D,Reservas!G:G,Reservas!H:H},
  INT(Reservas!F:F)=INT(B1)
 ),
 ""Sin egresos hoy""
)"),"Sin egresos hoy")</f>
        <v>Sin egresos hoy</v>
      </c>
      <c r="R6" s="24"/>
      <c r="S6" s="24"/>
      <c r="T6" s="24"/>
      <c r="U6" s="24"/>
    </row>
    <row r="7">
      <c r="A7" s="12" t="s">
        <v>212</v>
      </c>
      <c r="B7" s="39" t="str">
        <f>B5/B6</f>
        <v>#N/A</v>
      </c>
      <c r="D7" s="8"/>
    </row>
    <row r="8">
      <c r="A8" s="12" t="s">
        <v>222</v>
      </c>
      <c r="B8" s="22" t="str">
        <f>COUNTIF(Habitaciones!C:C,"SI")</f>
        <v>#REF!</v>
      </c>
      <c r="D8" s="8"/>
    </row>
    <row r="9">
      <c r="A9" s="12" t="s">
        <v>227</v>
      </c>
      <c r="B9" s="22">
        <f>COUNTIFS(Reservas!E:E,"&lt;="&amp;B1,Reservas!F:F,"&gt;"&amp;B1)</f>
        <v>0</v>
      </c>
      <c r="D9" s="8"/>
    </row>
    <row r="10">
      <c r="A10" s="12" t="s">
        <v>247</v>
      </c>
      <c r="B10" s="39" t="str">
        <f>B9/B8</f>
        <v>#REF!</v>
      </c>
      <c r="D10" s="44" t="s">
        <v>251</v>
      </c>
    </row>
    <row r="11">
      <c r="D11" s="46" t="s">
        <v>1</v>
      </c>
      <c r="E11" s="47" t="s">
        <v>10</v>
      </c>
      <c r="F11" s="47" t="s">
        <v>173</v>
      </c>
      <c r="G11" s="47" t="s">
        <v>5</v>
      </c>
      <c r="H11" s="47" t="s">
        <v>6</v>
      </c>
      <c r="I11" s="47" t="s">
        <v>263</v>
      </c>
    </row>
    <row r="12">
      <c r="D12" s="50" t="str">
        <f>IFERROR(__xludf.DUMMYFUNCTION("filter(Habitaciones!A:A,Habitaciones!C:C=""SI"")"),"#REF!")</f>
        <v>#REF!</v>
      </c>
      <c r="E12" s="54" t="str">
        <f>IFERROR(__xludf.DUMMYFUNCTION("IF(
IFERROR(
ROWS(
FILTER(
Reservas!B:B,
TO_TEXT(TRIM(Reservas!B:B)) = TO_TEXT(TRIM(D12)),
Reservas!E:E &lt;= $B$1,
Reservas!F:F &gt; $B$1
)
),0
)&gt;0,
""OCUPADA"",
""LIBRE""
)"),"LIBRE")</f>
        <v>LIBRE</v>
      </c>
      <c r="F12" s="54" t="str">
        <f>IFERROR(__xludf.DUMMYFUNCTION("IFERROR(
 INDEX(
  FILTER(
   Reservas!G:G,
   TRIM(TO_TEXT(Reservas!B:B))=TRIM(TO_TEXT(D12)),
   Reservas!E:E&lt;=$B$1,
   Reservas!F:F&gt;$B$1
  ),
 1
 ),
"""")"),"")</f>
        <v/>
      </c>
      <c r="G12" s="57" t="str">
        <f>IFERROR(__xludf.DUMMYFUNCTION("IFERROR(
 INDEX(
  FILTER(
   Reservas!E:E,
   TRIM(TO_TEXT(Reservas!B:B))=TRIM(TO_TEXT(D12)),
   Reservas!E:E&lt;=$B$1,
   Reservas!F:F&gt;$B$1
  ),
 1
 ),
"""")"),"")</f>
        <v/>
      </c>
      <c r="H12" s="57" t="str">
        <f>IFERROR(__xludf.DUMMYFUNCTION("IFERROR(
 INDEX(
  FILTER(
   Reservas!F:F,
   TRIM(TO_TEXT(Reservas!B:B))=TRIM(TO_TEXT(D12)),
   Reservas!E:E&lt;=$B$1,
   Reservas!F:F&gt;$B$1
  ),
 1
 ),
"""")"),"")</f>
        <v/>
      </c>
      <c r="I12" s="54" t="str">
        <f>IFERROR(__xludf.DUMMYFUNCTION("IFERROR(
 INDEX(
  FILTER(
   Reservas!C:C&amp;"" ""&amp;Reservas!D:D,
   TRIM(TO_TEXT(Reservas!B:B))=TRIM(TO_TEXT(D12)),
   Reservas!E:E&lt;=$B$1,
   Reservas!F:F&gt;$B$1
  ),
 1
 ),
"""")"),"")</f>
        <v/>
      </c>
    </row>
    <row r="13">
      <c r="C13" s="1"/>
      <c r="D13" s="50"/>
      <c r="E13" s="54" t="str">
        <f>IFERROR(__xludf.DUMMYFUNCTION("IF(
IFERROR(
ROWS(
FILTER(
Reservas!B:B,
TO_TEXT(TRIM(Reservas!B:B)) = TO_TEXT(TRIM(D13)),
Reservas!E:E &lt;= $B$1,
Reservas!F:F &gt; $B$1
)
),0
)&gt;0,
""OCUPADA"",
""LIBRE""
)"),"LIBRE")</f>
        <v>LIBRE</v>
      </c>
      <c r="F13" s="54" t="str">
        <f>IFERROR(__xludf.DUMMYFUNCTION("IFERROR(
 INDEX(
  FILTER(
   Reservas!G:G,
   TRIM(TO_TEXT(Reservas!B:B))=TRIM(TO_TEXT(D13)),
   Reservas!E:E&lt;=$B$1,
   Reservas!F:F&gt;$B$1
  ),
 1
 ),
"""")"),"")</f>
        <v/>
      </c>
      <c r="G13" s="57" t="str">
        <f>IFERROR(__xludf.DUMMYFUNCTION("IFERROR(
 INDEX(
  FILTER(
   Reservas!E:E,
   TRIM(TO_TEXT(Reservas!B:B))=TRIM(TO_TEXT(D13)),
   Reservas!E:E&lt;=$B$1,
   Reservas!F:F&gt;$B$1
  ),
 1
 ),
"""")"),"")</f>
        <v/>
      </c>
      <c r="H13" s="57" t="str">
        <f>IFERROR(__xludf.DUMMYFUNCTION("IFERROR(
 INDEX(
  FILTER(
   Reservas!F:F,
   TRIM(TO_TEXT(Reservas!B:B))=TRIM(TO_TEXT(D13)),
   Reservas!E:E&lt;=$B$1,
   Reservas!F:F&gt;$B$1
  ),
 1
 ),
"""")"),"")</f>
        <v/>
      </c>
      <c r="I13" s="54" t="str">
        <f>IFERROR(__xludf.DUMMYFUNCTION("IFERROR(
 INDEX(
  FILTER(
   Reservas!C:C&amp;"" ""&amp;Reservas!D:D,
   TRIM(TO_TEXT(Reservas!B:B))=TRIM(TO_TEXT(D13)),
   Reservas!E:E&lt;=$B$1,
   Reservas!F:F&gt;$B$1
  ),
 1
 ),
"""")"),"")</f>
        <v/>
      </c>
    </row>
    <row r="14">
      <c r="D14" s="50"/>
      <c r="E14" s="54" t="str">
        <f>IFERROR(__xludf.DUMMYFUNCTION("IF(
IFERROR(
ROWS(
FILTER(
Reservas!B:B,
TO_TEXT(TRIM(Reservas!B:B)) = TO_TEXT(TRIM(D14)),
Reservas!E:E &lt;= $B$1,
Reservas!F:F &gt; $B$1
)
),0
)&gt;0,
""OCUPADA"",
""LIBRE""
)"),"LIBRE")</f>
        <v>LIBRE</v>
      </c>
      <c r="F14" s="54" t="str">
        <f>IFERROR(__xludf.DUMMYFUNCTION("IFERROR(
 INDEX(
  FILTER(
   Reservas!G:G,
   TRIM(TO_TEXT(Reservas!B:B))=TRIM(TO_TEXT(D14)),
   Reservas!E:E&lt;=$B$1,
   Reservas!F:F&gt;$B$1
  ),
 1
 ),
"""")"),"")</f>
        <v/>
      </c>
      <c r="G14" s="57" t="str">
        <f>IFERROR(__xludf.DUMMYFUNCTION("IFERROR(
 INDEX(
  FILTER(
   Reservas!E:E,
   TRIM(TO_TEXT(Reservas!B:B))=TRIM(TO_TEXT(D14)),
   Reservas!E:E&lt;=$B$1,
   Reservas!F:F&gt;$B$1
  ),
 1
 ),
"""")"),"")</f>
        <v/>
      </c>
      <c r="H14" s="57" t="str">
        <f>IFERROR(__xludf.DUMMYFUNCTION("IFERROR(
 INDEX(
  FILTER(
   Reservas!F:F,
   TRIM(TO_TEXT(Reservas!B:B))=TRIM(TO_TEXT(D14)),
   Reservas!E:E&lt;=$B$1,
   Reservas!F:F&gt;$B$1
  ),
 1
 ),
"""")"),"")</f>
        <v/>
      </c>
      <c r="I14" s="54" t="str">
        <f>IFERROR(__xludf.DUMMYFUNCTION("IFERROR(
 INDEX(
  FILTER(
   Reservas!C:C&amp;"" ""&amp;Reservas!D:D,
   TRIM(TO_TEXT(Reservas!B:B))=TRIM(TO_TEXT(D14)),
   Reservas!E:E&lt;=$B$1,
   Reservas!F:F&gt;$B$1
  ),
 1
 ),
"""")"),"")</f>
        <v/>
      </c>
    </row>
    <row r="15">
      <c r="D15" s="50"/>
      <c r="E15" s="54" t="str">
        <f>IFERROR(__xludf.DUMMYFUNCTION("IF(
IFERROR(
ROWS(
FILTER(
Reservas!B:B,
TO_TEXT(TRIM(Reservas!B:B)) = TO_TEXT(TRIM(D15)),
Reservas!E:E &lt;= $B$1,
Reservas!F:F &gt; $B$1
)
),0
)&gt;0,
""OCUPADA"",
""LIBRE""
)"),"LIBRE")</f>
        <v>LIBRE</v>
      </c>
      <c r="F15" s="54" t="str">
        <f>IFERROR(__xludf.DUMMYFUNCTION("IFERROR(
 INDEX(
  FILTER(
   Reservas!G:G,
   TRIM(TO_TEXT(Reservas!B:B))=TRIM(TO_TEXT(D15)),
   Reservas!E:E&lt;=$B$1,
   Reservas!F:F&gt;$B$1
  ),
 1
 ),
"""")"),"")</f>
        <v/>
      </c>
      <c r="G15" s="57" t="str">
        <f>IFERROR(__xludf.DUMMYFUNCTION("IFERROR(
 INDEX(
  FILTER(
   Reservas!E:E,
   TRIM(TO_TEXT(Reservas!B:B))=TRIM(TO_TEXT(D15)),
   Reservas!E:E&lt;=$B$1,
   Reservas!F:F&gt;$B$1
  ),
 1
 ),
"""")"),"")</f>
        <v/>
      </c>
      <c r="H15" s="57" t="str">
        <f>IFERROR(__xludf.DUMMYFUNCTION("IFERROR(
 INDEX(
  FILTER(
   Reservas!F:F,
   TRIM(TO_TEXT(Reservas!B:B))=TRIM(TO_TEXT(D15)),
   Reservas!E:E&lt;=$B$1,
   Reservas!F:F&gt;$B$1
  ),
 1
 ),
"""")"),"")</f>
        <v/>
      </c>
      <c r="I15" s="54" t="str">
        <f>IFERROR(__xludf.DUMMYFUNCTION("IFERROR(
 INDEX(
  FILTER(
   Reservas!C:C&amp;"" ""&amp;Reservas!D:D,
   TRIM(TO_TEXT(Reservas!B:B))=TRIM(TO_TEXT(D15)),
   Reservas!E:E&lt;=$B$1,
   Reservas!F:F&gt;$B$1
  ),
 1
 ),
"""")"),"")</f>
        <v/>
      </c>
    </row>
    <row r="16">
      <c r="D16" s="50"/>
      <c r="E16" s="54" t="str">
        <f>IFERROR(__xludf.DUMMYFUNCTION("IF(
IFERROR(
ROWS(
FILTER(
Reservas!B:B,
TO_TEXT(TRIM(Reservas!B:B)) = TO_TEXT(TRIM(D16)),
Reservas!E:E &lt;= $B$1,
Reservas!F:F &gt; $B$1
)
),0
)&gt;0,
""OCUPADA"",
""LIBRE""
)"),"LIBRE")</f>
        <v>LIBRE</v>
      </c>
      <c r="F16" s="54" t="str">
        <f>IFERROR(__xludf.DUMMYFUNCTION("IFERROR(
 INDEX(
  FILTER(
   Reservas!G:G,
   TRIM(TO_TEXT(Reservas!B:B))=TRIM(TO_TEXT(D16)),
   Reservas!E:E&lt;=$B$1,
   Reservas!F:F&gt;$B$1
  ),
 1
 ),
"""")"),"")</f>
        <v/>
      </c>
      <c r="G16" s="57" t="str">
        <f>IFERROR(__xludf.DUMMYFUNCTION("IFERROR(
 INDEX(
  FILTER(
   Reservas!E:E,
   TRIM(TO_TEXT(Reservas!B:B))=TRIM(TO_TEXT(D16)),
   Reservas!E:E&lt;=$B$1,
   Reservas!F:F&gt;$B$1
  ),
 1
 ),
"""")"),"")</f>
        <v/>
      </c>
      <c r="H16" s="57" t="str">
        <f>IFERROR(__xludf.DUMMYFUNCTION("IFERROR(
 INDEX(
  FILTER(
   Reservas!F:F,
   TRIM(TO_TEXT(Reservas!B:B))=TRIM(TO_TEXT(D16)),
   Reservas!E:E&lt;=$B$1,
   Reservas!F:F&gt;$B$1
  ),
 1
 ),
"""")"),"")</f>
        <v/>
      </c>
      <c r="I16" s="54" t="str">
        <f>IFERROR(__xludf.DUMMYFUNCTION("IFERROR(
 INDEX(
  FILTER(
   Reservas!C:C&amp;"" ""&amp;Reservas!D:D,
   TRIM(TO_TEXT(Reservas!B:B))=TRIM(TO_TEXT(D16)),
   Reservas!E:E&lt;=$B$1,
   Reservas!F:F&gt;$B$1
  ),
 1
 ),
"""")"),"")</f>
        <v/>
      </c>
    </row>
    <row r="17">
      <c r="D17" s="50"/>
      <c r="E17" s="54" t="str">
        <f>IFERROR(__xludf.DUMMYFUNCTION("IF(
IFERROR(
ROWS(
FILTER(
Reservas!B:B,
TO_TEXT(TRIM(Reservas!B:B)) = TO_TEXT(TRIM(D17)),
Reservas!E:E &lt;= $B$1,
Reservas!F:F &gt; $B$1
)
),0
)&gt;0,
""OCUPADA"",
""LIBRE""
)"),"LIBRE")</f>
        <v>LIBRE</v>
      </c>
      <c r="F17" s="54" t="str">
        <f>IFERROR(__xludf.DUMMYFUNCTION("IFERROR(
 INDEX(
  FILTER(
   Reservas!G:G,
   TRIM(TO_TEXT(Reservas!B:B))=TRIM(TO_TEXT(D17)),
   Reservas!E:E&lt;=$B$1,
   Reservas!F:F&gt;$B$1
  ),
 1
 ),
"""")"),"")</f>
        <v/>
      </c>
      <c r="G17" s="57" t="str">
        <f>IFERROR(__xludf.DUMMYFUNCTION("IFERROR(
 INDEX(
  FILTER(
   Reservas!E:E,
   TRIM(TO_TEXT(Reservas!B:B))=TRIM(TO_TEXT(D17)),
   Reservas!E:E&lt;=$B$1,
   Reservas!F:F&gt;$B$1
  ),
 1
 ),
"""")"),"")</f>
        <v/>
      </c>
      <c r="H17" s="57" t="str">
        <f>IFERROR(__xludf.DUMMYFUNCTION("IFERROR(
 INDEX(
  FILTER(
   Reservas!F:F,
   TRIM(TO_TEXT(Reservas!B:B))=TRIM(TO_TEXT(D17)),
   Reservas!E:E&lt;=$B$1,
   Reservas!F:F&gt;$B$1
  ),
 1
 ),
"""")"),"")</f>
        <v/>
      </c>
      <c r="I17" s="54" t="str">
        <f>IFERROR(__xludf.DUMMYFUNCTION("IFERROR(
 INDEX(
  FILTER(
   Reservas!C:C&amp;"" ""&amp;Reservas!D:D,
   TRIM(TO_TEXT(Reservas!B:B))=TRIM(TO_TEXT(D17)),
   Reservas!E:E&lt;=$B$1,
   Reservas!F:F&gt;$B$1
  ),
 1
 ),
"""")"),"")</f>
        <v/>
      </c>
    </row>
    <row r="18">
      <c r="D18" s="50"/>
      <c r="E18" s="54" t="str">
        <f>IFERROR(__xludf.DUMMYFUNCTION("IF(
IFERROR(
ROWS(
FILTER(
Reservas!B:B,
TO_TEXT(TRIM(Reservas!B:B)) = TO_TEXT(TRIM(D18)),
Reservas!E:E &lt;= $B$1,
Reservas!F:F &gt; $B$1
)
),0
)&gt;0,
""OCUPADA"",
""LIBRE""
)"),"LIBRE")</f>
        <v>LIBRE</v>
      </c>
      <c r="F18" s="54" t="str">
        <f>IFERROR(__xludf.DUMMYFUNCTION("IFERROR(
 INDEX(
  FILTER(
   Reservas!G:G,
   TRIM(TO_TEXT(Reservas!B:B))=TRIM(TO_TEXT(D18)),
   Reservas!E:E&lt;=$B$1,
   Reservas!F:F&gt;$B$1
  ),
 1
 ),
"""")"),"")</f>
        <v/>
      </c>
      <c r="G18" s="57" t="str">
        <f>IFERROR(__xludf.DUMMYFUNCTION("IFERROR(
 INDEX(
  FILTER(
   Reservas!E:E,
   TRIM(TO_TEXT(Reservas!B:B))=TRIM(TO_TEXT(D18)),
   Reservas!E:E&lt;=$B$1,
   Reservas!F:F&gt;$B$1
  ),
 1
 ),
"""")"),"")</f>
        <v/>
      </c>
      <c r="H18" s="57" t="str">
        <f>IFERROR(__xludf.DUMMYFUNCTION("IFERROR(
 INDEX(
  FILTER(
   Reservas!F:F,
   TRIM(TO_TEXT(Reservas!B:B))=TRIM(TO_TEXT(D18)),
   Reservas!E:E&lt;=$B$1,
   Reservas!F:F&gt;$B$1
  ),
 1
 ),
"""")"),"")</f>
        <v/>
      </c>
      <c r="I18" s="54" t="str">
        <f>IFERROR(__xludf.DUMMYFUNCTION("IFERROR(
 INDEX(
  FILTER(
   Reservas!C:C&amp;"" ""&amp;Reservas!D:D,
   TRIM(TO_TEXT(Reservas!B:B))=TRIM(TO_TEXT(D18)),
   Reservas!E:E&lt;=$B$1,
   Reservas!F:F&gt;$B$1
  ),
 1
 ),
"""")"),"")</f>
        <v/>
      </c>
    </row>
    <row r="19">
      <c r="D19" s="50"/>
      <c r="E19" s="54" t="str">
        <f>IFERROR(__xludf.DUMMYFUNCTION("IF(
IFERROR(
ROWS(
FILTER(
Reservas!B:B,
TO_TEXT(TRIM(Reservas!B:B)) = TO_TEXT(TRIM(D19)),
Reservas!E:E &lt;= $B$1,
Reservas!F:F &gt; $B$1
)
),0
)&gt;0,
""OCUPADA"",
""LIBRE""
)"),"LIBRE")</f>
        <v>LIBRE</v>
      </c>
      <c r="F19" s="54" t="str">
        <f>IFERROR(__xludf.DUMMYFUNCTION("IFERROR(
 INDEX(
  FILTER(
   Reservas!G:G,
   TRIM(TO_TEXT(Reservas!B:B))=TRIM(TO_TEXT(D19)),
   Reservas!E:E&lt;=$B$1,
   Reservas!F:F&gt;$B$1
  ),
 1
 ),
"""")"),"")</f>
        <v/>
      </c>
      <c r="G19" s="57" t="str">
        <f>IFERROR(__xludf.DUMMYFUNCTION("IFERROR(
 INDEX(
  FILTER(
   Reservas!E:E,
   TRIM(TO_TEXT(Reservas!B:B))=TRIM(TO_TEXT(D19)),
   Reservas!E:E&lt;=$B$1,
   Reservas!F:F&gt;$B$1
  ),
 1
 ),
"""")"),"")</f>
        <v/>
      </c>
      <c r="H19" s="57" t="str">
        <f>IFERROR(__xludf.DUMMYFUNCTION("IFERROR(
 INDEX(
  FILTER(
   Reservas!F:F,
   TRIM(TO_TEXT(Reservas!B:B))=TRIM(TO_TEXT(D19)),
   Reservas!E:E&lt;=$B$1,
   Reservas!F:F&gt;$B$1
  ),
 1
 ),
"""")"),"")</f>
        <v/>
      </c>
      <c r="I19" s="54" t="str">
        <f>IFERROR(__xludf.DUMMYFUNCTION("IFERROR(
 INDEX(
  FILTER(
   Reservas!C:C&amp;"" ""&amp;Reservas!D:D,
   TRIM(TO_TEXT(Reservas!B:B))=TRIM(TO_TEXT(D19)),
   Reservas!E:E&lt;=$B$1,
   Reservas!F:F&gt;$B$1
  ),
 1
 ),
"""")"),"")</f>
        <v/>
      </c>
    </row>
    <row r="20">
      <c r="D20" s="50"/>
      <c r="E20" s="54" t="str">
        <f>IFERROR(__xludf.DUMMYFUNCTION("IF(
IFERROR(
ROWS(
FILTER(
Reservas!B:B,
TO_TEXT(TRIM(Reservas!B:B)) = TO_TEXT(TRIM(D20)),
Reservas!E:E &lt;= $B$1,
Reservas!F:F &gt; $B$1
)
),0
)&gt;0,
""OCUPADA"",
""LIBRE""
)"),"LIBRE")</f>
        <v>LIBRE</v>
      </c>
      <c r="F20" s="54" t="str">
        <f>IFERROR(__xludf.DUMMYFUNCTION("IFERROR(
 INDEX(
  FILTER(
   Reservas!G:G,
   TRIM(TO_TEXT(Reservas!B:B))=TRIM(TO_TEXT(D20)),
   Reservas!E:E&lt;=$B$1,
   Reservas!F:F&gt;$B$1
  ),
 1
 ),
"""")"),"")</f>
        <v/>
      </c>
      <c r="G20" s="57" t="str">
        <f>IFERROR(__xludf.DUMMYFUNCTION("IFERROR(
 INDEX(
  FILTER(
   Reservas!E:E,
   TRIM(TO_TEXT(Reservas!B:B))=TRIM(TO_TEXT(D20)),
   Reservas!E:E&lt;=$B$1,
   Reservas!F:F&gt;$B$1
  ),
 1
 ),
"""")"),"")</f>
        <v/>
      </c>
      <c r="H20" s="57" t="str">
        <f>IFERROR(__xludf.DUMMYFUNCTION("IFERROR(
 INDEX(
  FILTER(
   Reservas!F:F,
   TRIM(TO_TEXT(Reservas!B:B))=TRIM(TO_TEXT(D20)),
   Reservas!E:E&lt;=$B$1,
   Reservas!F:F&gt;$B$1
  ),
 1
 ),
"""")"),"")</f>
        <v/>
      </c>
      <c r="I20" s="54" t="str">
        <f>IFERROR(__xludf.DUMMYFUNCTION("IFERROR(
 INDEX(
  FILTER(
   Reservas!C:C&amp;"" ""&amp;Reservas!D:D,
   TRIM(TO_TEXT(Reservas!B:B))=TRIM(TO_TEXT(D20)),
   Reservas!E:E&lt;=$B$1,
   Reservas!F:F&gt;$B$1
  ),
 1
 ),
"""")"),"")</f>
        <v/>
      </c>
    </row>
    <row r="21">
      <c r="D21" s="50"/>
      <c r="E21" s="54" t="str">
        <f>IFERROR(__xludf.DUMMYFUNCTION("IF(
IFERROR(
ROWS(
FILTER(
Reservas!B:B,
TO_TEXT(TRIM(Reservas!B:B)) = TO_TEXT(TRIM(D21)),
Reservas!E:E &lt;= $B$1,
Reservas!F:F &gt; $B$1
)
),0
)&gt;0,
""OCUPADA"",
""LIBRE""
)"),"LIBRE")</f>
        <v>LIBRE</v>
      </c>
      <c r="F21" s="54" t="str">
        <f>IFERROR(__xludf.DUMMYFUNCTION("IFERROR(
 INDEX(
  FILTER(
   Reservas!G:G,
   TRIM(TO_TEXT(Reservas!B:B))=TRIM(TO_TEXT(D21)),
   Reservas!E:E&lt;=$B$1,
   Reservas!F:F&gt;$B$1
  ),
 1
 ),
"""")"),"")</f>
        <v/>
      </c>
      <c r="G21" s="57" t="str">
        <f>IFERROR(__xludf.DUMMYFUNCTION("IFERROR(
 INDEX(
  FILTER(
   Reservas!E:E,
   TRIM(TO_TEXT(Reservas!B:B))=TRIM(TO_TEXT(D21)),
   Reservas!E:E&lt;=$B$1,
   Reservas!F:F&gt;$B$1
  ),
 1
 ),
"""")"),"")</f>
        <v/>
      </c>
      <c r="H21" s="57" t="str">
        <f>IFERROR(__xludf.DUMMYFUNCTION("IFERROR(
 INDEX(
  FILTER(
   Reservas!F:F,
   TRIM(TO_TEXT(Reservas!B:B))=TRIM(TO_TEXT(D21)),
   Reservas!E:E&lt;=$B$1,
   Reservas!F:F&gt;$B$1
  ),
 1
 ),
"""")"),"")</f>
        <v/>
      </c>
      <c r="I21" s="54" t="str">
        <f>IFERROR(__xludf.DUMMYFUNCTION("IFERROR(
 INDEX(
  FILTER(
   Reservas!C:C&amp;"" ""&amp;Reservas!D:D,
   TRIM(TO_TEXT(Reservas!B:B))=TRIM(TO_TEXT(D21)),
   Reservas!E:E&lt;=$B$1,
   Reservas!F:F&gt;$B$1
  ),
 1
 ),
"""")"),"")</f>
        <v/>
      </c>
    </row>
    <row r="22">
      <c r="D22" s="50"/>
      <c r="E22" s="54" t="str">
        <f>IFERROR(__xludf.DUMMYFUNCTION("IF(
IFERROR(
ROWS(
FILTER(
Reservas!B:B,
TO_TEXT(TRIM(Reservas!B:B)) = TO_TEXT(TRIM(D22)),
Reservas!E:E &lt;= $B$1,
Reservas!F:F &gt; $B$1
)
),0
)&gt;0,
""OCUPADA"",
""LIBRE""
)"),"LIBRE")</f>
        <v>LIBRE</v>
      </c>
      <c r="F22" s="54" t="str">
        <f>IFERROR(__xludf.DUMMYFUNCTION("IFERROR(
 INDEX(
  FILTER(
   Reservas!G:G,
   TRIM(TO_TEXT(Reservas!B:B))=TRIM(TO_TEXT(D22)),
   Reservas!E:E&lt;=$B$1,
   Reservas!F:F&gt;$B$1
  ),
 1
 ),
"""")"),"")</f>
        <v/>
      </c>
      <c r="G22" s="57" t="str">
        <f>IFERROR(__xludf.DUMMYFUNCTION("IFERROR(
 INDEX(
  FILTER(
   Reservas!E:E,
   TRIM(TO_TEXT(Reservas!B:B))=TRIM(TO_TEXT(D22)),
   Reservas!E:E&lt;=$B$1,
   Reservas!F:F&gt;$B$1
  ),
 1
 ),
"""")"),"")</f>
        <v/>
      </c>
      <c r="H22" s="57" t="str">
        <f>IFERROR(__xludf.DUMMYFUNCTION("IFERROR(
 INDEX(
  FILTER(
   Reservas!F:F,
   TRIM(TO_TEXT(Reservas!B:B))=TRIM(TO_TEXT(D22)),
   Reservas!E:E&lt;=$B$1,
   Reservas!F:F&gt;$B$1
  ),
 1
 ),
"""")"),"")</f>
        <v/>
      </c>
      <c r="I22" s="54" t="str">
        <f>IFERROR(__xludf.DUMMYFUNCTION("IFERROR(
 INDEX(
  FILTER(
   Reservas!C:C&amp;"" ""&amp;Reservas!D:D,
   TRIM(TO_TEXT(Reservas!B:B))=TRIM(TO_TEXT(D22)),
   Reservas!E:E&lt;=$B$1,
   Reservas!F:F&gt;$B$1
  ),
 1
 ),
"""")"),"")</f>
        <v/>
      </c>
    </row>
    <row r="23">
      <c r="D23" s="50"/>
      <c r="E23" s="54" t="str">
        <f>IFERROR(__xludf.DUMMYFUNCTION("IF(
IFERROR(
ROWS(
FILTER(
Reservas!B:B,
TO_TEXT(TRIM(Reservas!B:B)) = TO_TEXT(TRIM(D23)),
Reservas!E:E &lt;= $B$1,
Reservas!F:F &gt; $B$1
)
),0
)&gt;0,
""OCUPADA"",
""LIBRE""
)"),"LIBRE")</f>
        <v>LIBRE</v>
      </c>
      <c r="F23" s="54" t="str">
        <f>IFERROR(__xludf.DUMMYFUNCTION("IFERROR(
 INDEX(
  FILTER(
   Reservas!G:G,
   TRIM(TO_TEXT(Reservas!B:B))=TRIM(TO_TEXT(D23)),
   Reservas!E:E&lt;=$B$1,
   Reservas!F:F&gt;$B$1
  ),
 1
 ),
"""")"),"")</f>
        <v/>
      </c>
      <c r="G23" s="57" t="str">
        <f>IFERROR(__xludf.DUMMYFUNCTION("IFERROR(
 INDEX(
  FILTER(
   Reservas!E:E,
   TRIM(TO_TEXT(Reservas!B:B))=TRIM(TO_TEXT(D23)),
   Reservas!E:E&lt;=$B$1,
   Reservas!F:F&gt;$B$1
  ),
 1
 ),
"""")"),"")</f>
        <v/>
      </c>
      <c r="H23" s="57" t="str">
        <f>IFERROR(__xludf.DUMMYFUNCTION("IFERROR(
 INDEX(
  FILTER(
   Reservas!F:F,
   TRIM(TO_TEXT(Reservas!B:B))=TRIM(TO_TEXT(D23)),
   Reservas!E:E&lt;=$B$1,
   Reservas!F:F&gt;$B$1
  ),
 1
 ),
"""")"),"")</f>
        <v/>
      </c>
      <c r="I23" s="54" t="str">
        <f>IFERROR(__xludf.DUMMYFUNCTION("IFERROR(
 INDEX(
  FILTER(
   Reservas!C:C&amp;"" ""&amp;Reservas!D:D,
   TRIM(TO_TEXT(Reservas!B:B))=TRIM(TO_TEXT(D23)),
   Reservas!E:E&lt;=$B$1,
   Reservas!F:F&gt;$B$1
  ),
 1
 ),
"""")"),"")</f>
        <v/>
      </c>
    </row>
    <row r="24">
      <c r="D24" s="50"/>
      <c r="E24" s="54" t="str">
        <f>IFERROR(__xludf.DUMMYFUNCTION("IF(
IFERROR(
ROWS(
FILTER(
Reservas!B:B,
TO_TEXT(TRIM(Reservas!B:B)) = TO_TEXT(TRIM(D24)),
Reservas!E:E &lt;= $B$1,
Reservas!F:F &gt; $B$1
)
),0
)&gt;0,
""OCUPADA"",
""LIBRE""
)"),"LIBRE")</f>
        <v>LIBRE</v>
      </c>
      <c r="F24" s="54" t="str">
        <f>IFERROR(__xludf.DUMMYFUNCTION("IFERROR(
 INDEX(
  FILTER(
   Reservas!G:G,
   TRIM(TO_TEXT(Reservas!B:B))=TRIM(TO_TEXT(D24)),
   Reservas!E:E&lt;=$B$1,
   Reservas!F:F&gt;$B$1
  ),
 1
 ),
"""")"),"")</f>
        <v/>
      </c>
      <c r="G24" s="57" t="str">
        <f>IFERROR(__xludf.DUMMYFUNCTION("IFERROR(
 INDEX(
  FILTER(
   Reservas!E:E,
   TRIM(TO_TEXT(Reservas!B:B))=TRIM(TO_TEXT(D24)),
   Reservas!E:E&lt;=$B$1,
   Reservas!F:F&gt;$B$1
  ),
 1
 ),
"""")"),"")</f>
        <v/>
      </c>
      <c r="H24" s="57" t="str">
        <f>IFERROR(__xludf.DUMMYFUNCTION("IFERROR(
 INDEX(
  FILTER(
   Reservas!F:F,
   TRIM(TO_TEXT(Reservas!B:B))=TRIM(TO_TEXT(D24)),
   Reservas!E:E&lt;=$B$1,
   Reservas!F:F&gt;$B$1
  ),
 1
 ),
"""")"),"")</f>
        <v/>
      </c>
      <c r="I24" s="54" t="str">
        <f>IFERROR(__xludf.DUMMYFUNCTION("IFERROR(
 INDEX(
  FILTER(
   Reservas!C:C&amp;"" ""&amp;Reservas!D:D,
   TRIM(TO_TEXT(Reservas!B:B))=TRIM(TO_TEXT(D24)),
   Reservas!E:E&lt;=$B$1,
   Reservas!F:F&gt;$B$1
  ),
 1
 ),
"""")"),"")</f>
        <v/>
      </c>
    </row>
    <row r="25">
      <c r="D25" s="50"/>
      <c r="E25" s="54" t="str">
        <f>IFERROR(__xludf.DUMMYFUNCTION("IF(
IFERROR(
ROWS(
FILTER(
Reservas!B:B,
TO_TEXT(TRIM(Reservas!B:B)) = TO_TEXT(TRIM(D25)),
Reservas!E:E &lt;= $B$1,
Reservas!F:F &gt; $B$1
)
),0
)&gt;0,
""OCUPADA"",
""LIBRE""
)"),"LIBRE")</f>
        <v>LIBRE</v>
      </c>
      <c r="F25" s="54" t="str">
        <f>IFERROR(__xludf.DUMMYFUNCTION("IFERROR(
 INDEX(
  FILTER(
   Reservas!G:G,
   TRIM(TO_TEXT(Reservas!B:B))=TRIM(TO_TEXT(D25)),
   Reservas!E:E&lt;=$B$1,
   Reservas!F:F&gt;$B$1
  ),
 1
 ),
"""")"),"")</f>
        <v/>
      </c>
      <c r="G25" s="57" t="str">
        <f>IFERROR(__xludf.DUMMYFUNCTION("IFERROR(
 INDEX(
  FILTER(
   Reservas!E:E,
   TRIM(TO_TEXT(Reservas!B:B))=TRIM(TO_TEXT(D25)),
   Reservas!E:E&lt;=$B$1,
   Reservas!F:F&gt;$B$1
  ),
 1
 ),
"""")"),"")</f>
        <v/>
      </c>
      <c r="H25" s="57" t="str">
        <f>IFERROR(__xludf.DUMMYFUNCTION("IFERROR(
 INDEX(
  FILTER(
   Reservas!F:F,
   TRIM(TO_TEXT(Reservas!B:B))=TRIM(TO_TEXT(D25)),
   Reservas!E:E&lt;=$B$1,
   Reservas!F:F&gt;$B$1
  ),
 1
 ),
"""")"),"")</f>
        <v/>
      </c>
      <c r="I25" s="54" t="str">
        <f>IFERROR(__xludf.DUMMYFUNCTION("IFERROR(
 INDEX(
  FILTER(
   Reservas!C:C&amp;"" ""&amp;Reservas!D:D,
   TRIM(TO_TEXT(Reservas!B:B))=TRIM(TO_TEXT(D25)),
   Reservas!E:E&lt;=$B$1,
   Reservas!F:F&gt;$B$1
  ),
 1
 ),
"""")"),"")</f>
        <v/>
      </c>
    </row>
    <row r="26">
      <c r="D26" s="50"/>
      <c r="E26" s="54" t="str">
        <f>IFERROR(__xludf.DUMMYFUNCTION("IF(
IFERROR(
ROWS(
FILTER(
Reservas!B:B,
TO_TEXT(TRIM(Reservas!B:B)) = TO_TEXT(TRIM(D26)),
Reservas!E:E &lt;= $B$1,
Reservas!F:F &gt; $B$1
)
),0
)&gt;0,
""OCUPADA"",
""LIBRE""
)"),"LIBRE")</f>
        <v>LIBRE</v>
      </c>
      <c r="F26" s="54" t="str">
        <f>IFERROR(__xludf.DUMMYFUNCTION("IFERROR(
 INDEX(
  FILTER(
   Reservas!G:G,
   TRIM(TO_TEXT(Reservas!B:B))=TRIM(TO_TEXT(D26)),
   Reservas!E:E&lt;=$B$1,
   Reservas!F:F&gt;$B$1
  ),
 1
 ),
"""")"),"")</f>
        <v/>
      </c>
      <c r="G26" s="57" t="str">
        <f>IFERROR(__xludf.DUMMYFUNCTION("IFERROR(
 INDEX(
  FILTER(
   Reservas!E:E,
   TRIM(TO_TEXT(Reservas!B:B))=TRIM(TO_TEXT(D26)),
   Reservas!E:E&lt;=$B$1,
   Reservas!F:F&gt;$B$1
  ),
 1
 ),
"""")"),"")</f>
        <v/>
      </c>
      <c r="H26" s="57" t="str">
        <f>IFERROR(__xludf.DUMMYFUNCTION("IFERROR(
 INDEX(
  FILTER(
   Reservas!F:F,
   TRIM(TO_TEXT(Reservas!B:B))=TRIM(TO_TEXT(D26)),
   Reservas!E:E&lt;=$B$1,
   Reservas!F:F&gt;$B$1
  ),
 1
 ),
"""")"),"")</f>
        <v/>
      </c>
      <c r="I26" s="54" t="str">
        <f>IFERROR(__xludf.DUMMYFUNCTION("IFERROR(
 INDEX(
  FILTER(
   Reservas!C:C&amp;"" ""&amp;Reservas!D:D,
   TRIM(TO_TEXT(Reservas!B:B))=TRIM(TO_TEXT(D26)),
   Reservas!E:E&lt;=$B$1,
   Reservas!F:F&gt;$B$1
  ),
 1
 ),
"""")"),"")</f>
        <v/>
      </c>
    </row>
    <row r="27">
      <c r="D27" s="50"/>
      <c r="E27" s="54" t="str">
        <f>IFERROR(__xludf.DUMMYFUNCTION("IF(
IFERROR(
ROWS(
FILTER(
Reservas!B:B,
TO_TEXT(TRIM(Reservas!B:B)) = TO_TEXT(TRIM(D27)),
Reservas!E:E &lt;= $B$1,
Reservas!F:F &gt; $B$1
)
),0
)&gt;0,
""OCUPADA"",
""LIBRE""
)"),"LIBRE")</f>
        <v>LIBRE</v>
      </c>
      <c r="F27" s="54" t="str">
        <f>IFERROR(__xludf.DUMMYFUNCTION("IFERROR(
 INDEX(
  FILTER(
   Reservas!G:G,
   TRIM(TO_TEXT(Reservas!B:B))=TRIM(TO_TEXT(D27)),
   Reservas!E:E&lt;=$B$1,
   Reservas!F:F&gt;$B$1
  ),
 1
 ),
"""")"),"")</f>
        <v/>
      </c>
      <c r="G27" s="57" t="str">
        <f>IFERROR(__xludf.DUMMYFUNCTION("IFERROR(
 INDEX(
  FILTER(
   Reservas!E:E,
   TRIM(TO_TEXT(Reservas!B:B))=TRIM(TO_TEXT(D27)),
   Reservas!E:E&lt;=$B$1,
   Reservas!F:F&gt;$B$1
  ),
 1
 ),
"""")"),"")</f>
        <v/>
      </c>
      <c r="H27" s="57" t="str">
        <f>IFERROR(__xludf.DUMMYFUNCTION("IFERROR(
 INDEX(
  FILTER(
   Reservas!F:F,
   TRIM(TO_TEXT(Reservas!B:B))=TRIM(TO_TEXT(D27)),
   Reservas!E:E&lt;=$B$1,
   Reservas!F:F&gt;$B$1
  ),
 1
 ),
"""")"),"")</f>
        <v/>
      </c>
      <c r="I27" s="54" t="str">
        <f>IFERROR(__xludf.DUMMYFUNCTION("IFERROR(
 INDEX(
  FILTER(
   Reservas!C:C&amp;"" ""&amp;Reservas!D:D,
   TRIM(TO_TEXT(Reservas!B:B))=TRIM(TO_TEXT(D27)),
   Reservas!E:E&lt;=$B$1,
   Reservas!F:F&gt;$B$1
  ),
 1
 ),
"""")"),"")</f>
        <v/>
      </c>
    </row>
    <row r="28">
      <c r="D28" s="50"/>
      <c r="E28" s="54" t="str">
        <f>IFERROR(__xludf.DUMMYFUNCTION("IF(
IFERROR(
ROWS(
FILTER(
Reservas!B:B,
TO_TEXT(TRIM(Reservas!B:B)) = TO_TEXT(TRIM(D28)),
Reservas!E:E &lt;= $B$1,
Reservas!F:F &gt; $B$1
)
),0
)&gt;0,
""OCUPADA"",
""LIBRE""
)"),"LIBRE")</f>
        <v>LIBRE</v>
      </c>
      <c r="F28" s="54" t="str">
        <f>IFERROR(__xludf.DUMMYFUNCTION("IFERROR(
 INDEX(
  FILTER(
   Reservas!G:G,
   TRIM(TO_TEXT(Reservas!B:B))=TRIM(TO_TEXT(D28)),
   Reservas!E:E&lt;=$B$1,
   Reservas!F:F&gt;$B$1
  ),
 1
 ),
"""")"),"")</f>
        <v/>
      </c>
      <c r="G28" s="57" t="str">
        <f>IFERROR(__xludf.DUMMYFUNCTION("IFERROR(
 INDEX(
  FILTER(
   Reservas!E:E,
   TRIM(TO_TEXT(Reservas!B:B))=TRIM(TO_TEXT(D28)),
   Reservas!E:E&lt;=$B$1,
   Reservas!F:F&gt;$B$1
  ),
 1
 ),
"""")"),"")</f>
        <v/>
      </c>
      <c r="H28" s="57" t="str">
        <f>IFERROR(__xludf.DUMMYFUNCTION("IFERROR(
 INDEX(
  FILTER(
   Reservas!F:F,
   TRIM(TO_TEXT(Reservas!B:B))=TRIM(TO_TEXT(D28)),
   Reservas!E:E&lt;=$B$1,
   Reservas!F:F&gt;$B$1
  ),
 1
 ),
"""")"),"")</f>
        <v/>
      </c>
      <c r="I28" s="54" t="str">
        <f>IFERROR(__xludf.DUMMYFUNCTION("IFERROR(
 INDEX(
  FILTER(
   Reservas!C:C&amp;"" ""&amp;Reservas!D:D,
   TRIM(TO_TEXT(Reservas!B:B))=TRIM(TO_TEXT(D28)),
   Reservas!E:E&lt;=$B$1,
   Reservas!F:F&gt;$B$1
  ),
 1
 ),
"""")"),"")</f>
        <v/>
      </c>
    </row>
    <row r="29">
      <c r="D29" s="50"/>
      <c r="E29" s="54" t="str">
        <f>IFERROR(__xludf.DUMMYFUNCTION("IF(
IFERROR(
ROWS(
FILTER(
Reservas!B:B,
TO_TEXT(TRIM(Reservas!B:B)) = TO_TEXT(TRIM(D29)),
Reservas!E:E &lt;= $B$1,
Reservas!F:F &gt; $B$1
)
),0
)&gt;0,
""OCUPADA"",
""LIBRE""
)"),"LIBRE")</f>
        <v>LIBRE</v>
      </c>
      <c r="F29" s="54" t="str">
        <f>IFERROR(__xludf.DUMMYFUNCTION("IFERROR(
 INDEX(
  FILTER(
   Reservas!G:G,
   TRIM(TO_TEXT(Reservas!B:B))=TRIM(TO_TEXT(D29)),
   Reservas!E:E&lt;=$B$1,
   Reservas!F:F&gt;$B$1
  ),
 1
 ),
"""")"),"")</f>
        <v/>
      </c>
      <c r="G29" s="57" t="str">
        <f>IFERROR(__xludf.DUMMYFUNCTION("IFERROR(
 INDEX(
  FILTER(
   Reservas!E:E,
   TRIM(TO_TEXT(Reservas!B:B))=TRIM(TO_TEXT(D29)),
   Reservas!E:E&lt;=$B$1,
   Reservas!F:F&gt;$B$1
  ),
 1
 ),
"""")"),"")</f>
        <v/>
      </c>
      <c r="H29" s="57" t="str">
        <f>IFERROR(__xludf.DUMMYFUNCTION("IFERROR(
 INDEX(
  FILTER(
   Reservas!F:F,
   TRIM(TO_TEXT(Reservas!B:B))=TRIM(TO_TEXT(D29)),
   Reservas!E:E&lt;=$B$1,
   Reservas!F:F&gt;$B$1
  ),
 1
 ),
"""")"),"")</f>
        <v/>
      </c>
      <c r="I29" s="54" t="str">
        <f>IFERROR(__xludf.DUMMYFUNCTION("IFERROR(
 INDEX(
  FILTER(
   Reservas!C:C&amp;"" ""&amp;Reservas!D:D,
   TRIM(TO_TEXT(Reservas!B:B))=TRIM(TO_TEXT(D29)),
   Reservas!E:E&lt;=$B$1,
   Reservas!F:F&gt;$B$1
  ),
 1
 ),
"""")"),"")</f>
        <v/>
      </c>
    </row>
    <row r="30">
      <c r="D30" s="50"/>
      <c r="E30" s="54" t="str">
        <f>IFERROR(__xludf.DUMMYFUNCTION("IF(
IFERROR(
ROWS(
FILTER(
Reservas!B:B,
TO_TEXT(TRIM(Reservas!B:B)) = TO_TEXT(TRIM(D30)),
Reservas!E:E &lt;= $B$1,
Reservas!F:F &gt; $B$1
)
),0
)&gt;0,
""OCUPADA"",
""LIBRE""
)"),"LIBRE")</f>
        <v>LIBRE</v>
      </c>
      <c r="F30" s="54" t="str">
        <f>IFERROR(__xludf.DUMMYFUNCTION("IFERROR(
 INDEX(
  FILTER(
   Reservas!G:G,
   TRIM(TO_TEXT(Reservas!B:B))=TRIM(TO_TEXT(D30)),
   Reservas!E:E&lt;=$B$1,
   Reservas!F:F&gt;$B$1
  ),
 1
 ),
"""")"),"")</f>
        <v/>
      </c>
      <c r="G30" s="57" t="str">
        <f>IFERROR(__xludf.DUMMYFUNCTION("IFERROR(
 INDEX(
  FILTER(
   Reservas!E:E,
   TRIM(TO_TEXT(Reservas!B:B))=TRIM(TO_TEXT(D30)),
   Reservas!E:E&lt;=$B$1,
   Reservas!F:F&gt;$B$1
  ),
 1
 ),
"""")"),"")</f>
        <v/>
      </c>
      <c r="H30" s="57" t="str">
        <f>IFERROR(__xludf.DUMMYFUNCTION("IFERROR(
 INDEX(
  FILTER(
   Reservas!F:F,
   TRIM(TO_TEXT(Reservas!B:B))=TRIM(TO_TEXT(D30)),
   Reservas!E:E&lt;=$B$1,
   Reservas!F:F&gt;$B$1
  ),
 1
 ),
"""")"),"")</f>
        <v/>
      </c>
      <c r="I30" s="54" t="str">
        <f>IFERROR(__xludf.DUMMYFUNCTION("IFERROR(
 INDEX(
  FILTER(
   Reservas!C:C&amp;"" ""&amp;Reservas!D:D,
   TRIM(TO_TEXT(Reservas!B:B))=TRIM(TO_TEXT(D30)),
   Reservas!E:E&lt;=$B$1,
   Reservas!F:F&gt;$B$1
  ),
 1
 ),
"""")"),"")</f>
        <v/>
      </c>
    </row>
    <row r="31">
      <c r="D31" s="50"/>
      <c r="E31" s="54" t="str">
        <f>IFERROR(__xludf.DUMMYFUNCTION("IF(
IFERROR(
ROWS(
FILTER(
Reservas!B:B,
TO_TEXT(TRIM(Reservas!B:B)) = TO_TEXT(TRIM(D31)),
Reservas!E:E &lt;= $B$1,
Reservas!F:F &gt; $B$1
)
),0
)&gt;0,
""OCUPADA"",
""LIBRE""
)"),"LIBRE")</f>
        <v>LIBRE</v>
      </c>
      <c r="F31" s="54" t="str">
        <f>IFERROR(__xludf.DUMMYFUNCTION("IFERROR(
 INDEX(
  FILTER(
   Reservas!G:G,
   TRIM(TO_TEXT(Reservas!B:B))=TRIM(TO_TEXT(D31)),
   Reservas!E:E&lt;=$B$1,
   Reservas!F:F&gt;$B$1
  ),
 1
 ),
"""")"),"")</f>
        <v/>
      </c>
      <c r="G31" s="57" t="str">
        <f>IFERROR(__xludf.DUMMYFUNCTION("IFERROR(
 INDEX(
  FILTER(
   Reservas!E:E,
   TRIM(TO_TEXT(Reservas!B:B))=TRIM(TO_TEXT(D31)),
   Reservas!E:E&lt;=$B$1,
   Reservas!F:F&gt;$B$1
  ),
 1
 ),
"""")"),"")</f>
        <v/>
      </c>
      <c r="H31" s="57" t="str">
        <f>IFERROR(__xludf.DUMMYFUNCTION("IFERROR(
 INDEX(
  FILTER(
   Reservas!F:F,
   TRIM(TO_TEXT(Reservas!B:B))=TRIM(TO_TEXT(D31)),
   Reservas!E:E&lt;=$B$1,
   Reservas!F:F&gt;$B$1
  ),
 1
 ),
"""")"),"")</f>
        <v/>
      </c>
      <c r="I31" s="54" t="str">
        <f>IFERROR(__xludf.DUMMYFUNCTION("IFERROR(
 INDEX(
  FILTER(
   Reservas!C:C&amp;"" ""&amp;Reservas!D:D,
   TRIM(TO_TEXT(Reservas!B:B))=TRIM(TO_TEXT(D31)),
   Reservas!E:E&lt;=$B$1,
   Reservas!F:F&gt;$B$1
  ),
 1
 ),
"""")"),"")</f>
        <v/>
      </c>
    </row>
    <row r="32">
      <c r="D32" s="50"/>
      <c r="E32" s="54" t="str">
        <f>IFERROR(__xludf.DUMMYFUNCTION("IF(
IFERROR(
ROWS(
FILTER(
Reservas!B:B,
TO_TEXT(TRIM(Reservas!B:B)) = TO_TEXT(TRIM(D32)),
Reservas!E:E &lt;= $B$1,
Reservas!F:F &gt; $B$1
)
),0
)&gt;0,
""OCUPADA"",
""LIBRE""
)"),"LIBRE")</f>
        <v>LIBRE</v>
      </c>
      <c r="F32" s="54" t="str">
        <f>IFERROR(__xludf.DUMMYFUNCTION("IFERROR(
 INDEX(
  FILTER(
   Reservas!G:G,
   TRIM(TO_TEXT(Reservas!B:B))=TRIM(TO_TEXT(D32)),
   Reservas!E:E&lt;=$B$1,
   Reservas!F:F&gt;$B$1
  ),
 1
 ),
"""")"),"")</f>
        <v/>
      </c>
      <c r="G32" s="57" t="str">
        <f>IFERROR(__xludf.DUMMYFUNCTION("IFERROR(
 INDEX(
  FILTER(
   Reservas!E:E,
   TRIM(TO_TEXT(Reservas!B:B))=TRIM(TO_TEXT(D32)),
   Reservas!E:E&lt;=$B$1,
   Reservas!F:F&gt;$B$1
  ),
 1
 ),
"""")"),"")</f>
        <v/>
      </c>
      <c r="H32" s="57" t="str">
        <f>IFERROR(__xludf.DUMMYFUNCTION("IFERROR(
 INDEX(
  FILTER(
   Reservas!F:F,
   TRIM(TO_TEXT(Reservas!B:B))=TRIM(TO_TEXT(D32)),
   Reservas!E:E&lt;=$B$1,
   Reservas!F:F&gt;$B$1
  ),
 1
 ),
"""")"),"")</f>
        <v/>
      </c>
      <c r="I32" s="54" t="str">
        <f>IFERROR(__xludf.DUMMYFUNCTION("IFERROR(
 INDEX(
  FILTER(
   Reservas!C:C&amp;"" ""&amp;Reservas!D:D,
   TRIM(TO_TEXT(Reservas!B:B))=TRIM(TO_TEXT(D32)),
   Reservas!E:E&lt;=$B$1,
   Reservas!F:F&gt;$B$1
  ),
 1
 ),
"""")"),"")</f>
        <v/>
      </c>
    </row>
    <row r="33">
      <c r="D33" s="50"/>
      <c r="E33" s="54" t="str">
        <f>IFERROR(__xludf.DUMMYFUNCTION("IF(
IFERROR(
ROWS(
FILTER(
Reservas!B:B,
TO_TEXT(TRIM(Reservas!B:B)) = TO_TEXT(TRIM(D33)),
Reservas!E:E &lt;= $B$1,
Reservas!F:F &gt; $B$1
)
),0
)&gt;0,
""OCUPADA"",
""LIBRE""
)"),"LIBRE")</f>
        <v>LIBRE</v>
      </c>
      <c r="F33" s="54" t="str">
        <f>IFERROR(__xludf.DUMMYFUNCTION("IFERROR(
 INDEX(
  FILTER(
   Reservas!G:G,
   TRIM(TO_TEXT(Reservas!B:B))=TRIM(TO_TEXT(D33)),
   Reservas!E:E&lt;=$B$1,
   Reservas!F:F&gt;$B$1
  ),
 1
 ),
"""")"),"")</f>
        <v/>
      </c>
      <c r="G33" s="57" t="str">
        <f>IFERROR(__xludf.DUMMYFUNCTION("IFERROR(
 INDEX(
  FILTER(
   Reservas!E:E,
   TRIM(TO_TEXT(Reservas!B:B))=TRIM(TO_TEXT(D33)),
   Reservas!E:E&lt;=$B$1,
   Reservas!F:F&gt;$B$1
  ),
 1
 ),
"""")"),"")</f>
        <v/>
      </c>
      <c r="H33" s="57" t="str">
        <f>IFERROR(__xludf.DUMMYFUNCTION("IFERROR(
 INDEX(
  FILTER(
   Reservas!F:F,
   TRIM(TO_TEXT(Reservas!B:B))=TRIM(TO_TEXT(D33)),
   Reservas!E:E&lt;=$B$1,
   Reservas!F:F&gt;$B$1
  ),
 1
 ),
"""")"),"")</f>
        <v/>
      </c>
      <c r="I33" s="54" t="str">
        <f>IFERROR(__xludf.DUMMYFUNCTION("IFERROR(
 INDEX(
  FILTER(
   Reservas!C:C&amp;"" ""&amp;Reservas!D:D,
   TRIM(TO_TEXT(Reservas!B:B))=TRIM(TO_TEXT(D33)),
   Reservas!E:E&lt;=$B$1,
   Reservas!F:F&gt;$B$1
  ),
 1
 ),
"""")"),"")</f>
        <v/>
      </c>
    </row>
    <row r="34">
      <c r="D34" s="50"/>
      <c r="E34" s="54" t="str">
        <f>IFERROR(__xludf.DUMMYFUNCTION("IF(
IFERROR(
ROWS(
FILTER(
Reservas!B:B,
TO_TEXT(TRIM(Reservas!B:B)) = TO_TEXT(TRIM(D34)),
Reservas!E:E &lt;= $B$1,
Reservas!F:F &gt; $B$1
)
),0
)&gt;0,
""OCUPADA"",
""LIBRE""
)"),"LIBRE")</f>
        <v>LIBRE</v>
      </c>
      <c r="F34" s="54" t="str">
        <f>IFERROR(__xludf.DUMMYFUNCTION("IFERROR(
 INDEX(
  FILTER(
   Reservas!G:G,
   TRIM(TO_TEXT(Reservas!B:B))=TRIM(TO_TEXT(D34)),
   Reservas!E:E&lt;=$B$1,
   Reservas!F:F&gt;$B$1
  ),
 1
 ),
"""")"),"")</f>
        <v/>
      </c>
      <c r="G34" s="57" t="str">
        <f>IFERROR(__xludf.DUMMYFUNCTION("IFERROR(
 INDEX(
  FILTER(
   Reservas!E:E,
   TRIM(TO_TEXT(Reservas!B:B))=TRIM(TO_TEXT(D34)),
   Reservas!E:E&lt;=$B$1,
   Reservas!F:F&gt;$B$1
  ),
 1
 ),
"""")"),"")</f>
        <v/>
      </c>
      <c r="H34" s="57" t="str">
        <f>IFERROR(__xludf.DUMMYFUNCTION("IFERROR(
 INDEX(
  FILTER(
   Reservas!F:F,
   TRIM(TO_TEXT(Reservas!B:B))=TRIM(TO_TEXT(D34)),
   Reservas!E:E&lt;=$B$1,
   Reservas!F:F&gt;$B$1
  ),
 1
 ),
"""")"),"")</f>
        <v/>
      </c>
      <c r="I34" s="54" t="str">
        <f>IFERROR(__xludf.DUMMYFUNCTION("IFERROR(
 INDEX(
  FILTER(
   Reservas!C:C&amp;"" ""&amp;Reservas!D:D,
   TRIM(TO_TEXT(Reservas!B:B))=TRIM(TO_TEXT(D34)),
   Reservas!E:E&lt;=$B$1,
   Reservas!F:F&gt;$B$1
  ),
 1
 ),
"""")"),"")</f>
        <v/>
      </c>
    </row>
    <row r="35">
      <c r="D35" s="50"/>
      <c r="E35" s="54" t="str">
        <f>IFERROR(__xludf.DUMMYFUNCTION("IF(
IFERROR(
ROWS(
FILTER(
Reservas!B:B,
TO_TEXT(TRIM(Reservas!B:B)) = TO_TEXT(TRIM(D35)),
Reservas!E:E &lt;= $B$1,
Reservas!F:F &gt; $B$1
)
),0
)&gt;0,
""OCUPADA"",
""LIBRE""
)"),"LIBRE")</f>
        <v>LIBRE</v>
      </c>
      <c r="F35" s="54" t="str">
        <f>IFERROR(__xludf.DUMMYFUNCTION("IFERROR(
 INDEX(
  FILTER(
   Reservas!G:G,
   TRIM(TO_TEXT(Reservas!B:B))=TRIM(TO_TEXT(D35)),
   Reservas!E:E&lt;=$B$1,
   Reservas!F:F&gt;$B$1
  ),
 1
 ),
"""")"),"")</f>
        <v/>
      </c>
      <c r="G35" s="57" t="str">
        <f>IFERROR(__xludf.DUMMYFUNCTION("IFERROR(
 INDEX(
  FILTER(
   Reservas!E:E,
   TRIM(TO_TEXT(Reservas!B:B))=TRIM(TO_TEXT(D35)),
   Reservas!E:E&lt;=$B$1,
   Reservas!F:F&gt;$B$1
  ),
 1
 ),
"""")"),"")</f>
        <v/>
      </c>
      <c r="H35" s="57" t="str">
        <f>IFERROR(__xludf.DUMMYFUNCTION("IFERROR(
 INDEX(
  FILTER(
   Reservas!F:F,
   TRIM(TO_TEXT(Reservas!B:B))=TRIM(TO_TEXT(D35)),
   Reservas!E:E&lt;=$B$1,
   Reservas!F:F&gt;$B$1
  ),
 1
 ),
"""")"),"")</f>
        <v/>
      </c>
      <c r="I35" s="54" t="str">
        <f>IFERROR(__xludf.DUMMYFUNCTION("IFERROR(
 INDEX(
  FILTER(
   Reservas!C:C&amp;"" ""&amp;Reservas!D:D,
   TRIM(TO_TEXT(Reservas!B:B))=TRIM(TO_TEXT(D35)),
   Reservas!E:E&lt;=$B$1,
   Reservas!F:F&gt;$B$1
  ),
 1
 ),
"""")"),"")</f>
        <v/>
      </c>
    </row>
    <row r="36">
      <c r="D36" s="50"/>
      <c r="E36" s="54" t="str">
        <f>IFERROR(__xludf.DUMMYFUNCTION("IF(
IFERROR(
ROWS(
FILTER(
Reservas!B:B,
TO_TEXT(TRIM(Reservas!B:B)) = TO_TEXT(TRIM(D36)),
Reservas!E:E &lt;= $B$1,
Reservas!F:F &gt; $B$1
)
),0
)&gt;0,
""OCUPADA"",
""LIBRE""
)"),"LIBRE")</f>
        <v>LIBRE</v>
      </c>
      <c r="F36" s="54" t="str">
        <f>IFERROR(__xludf.DUMMYFUNCTION("IFERROR(
 INDEX(
  FILTER(
   Reservas!G:G,
   TRIM(TO_TEXT(Reservas!B:B))=TRIM(TO_TEXT(D36)),
   Reservas!E:E&lt;=$B$1,
   Reservas!F:F&gt;$B$1
  ),
 1
 ),
"""")"),"")</f>
        <v/>
      </c>
      <c r="G36" s="57" t="str">
        <f>IFERROR(__xludf.DUMMYFUNCTION("IFERROR(
 INDEX(
  FILTER(
   Reservas!E:E,
   TRIM(TO_TEXT(Reservas!B:B))=TRIM(TO_TEXT(D36)),
   Reservas!E:E&lt;=$B$1,
   Reservas!F:F&gt;$B$1
  ),
 1
 ),
"""")"),"")</f>
        <v/>
      </c>
      <c r="H36" s="57" t="str">
        <f>IFERROR(__xludf.DUMMYFUNCTION("IFERROR(
 INDEX(
  FILTER(
   Reservas!F:F,
   TRIM(TO_TEXT(Reservas!B:B))=TRIM(TO_TEXT(D36)),
   Reservas!E:E&lt;=$B$1,
   Reservas!F:F&gt;$B$1
  ),
 1
 ),
"""")"),"")</f>
        <v/>
      </c>
      <c r="I36" s="54" t="str">
        <f>IFERROR(__xludf.DUMMYFUNCTION("IFERROR(
 INDEX(
  FILTER(
   Reservas!C:C&amp;"" ""&amp;Reservas!D:D,
   TRIM(TO_TEXT(Reservas!B:B))=TRIM(TO_TEXT(D36)),
   Reservas!E:E&lt;=$B$1,
   Reservas!F:F&gt;$B$1
  ),
 1
 ),
"""")"),"")</f>
        <v/>
      </c>
    </row>
    <row r="37">
      <c r="D37" s="50"/>
      <c r="E37" s="54" t="str">
        <f>IFERROR(__xludf.DUMMYFUNCTION("IF(
IFERROR(
ROWS(
FILTER(
Reservas!B:B,
TO_TEXT(TRIM(Reservas!B:B)) = TO_TEXT(TRIM(D37)),
Reservas!E:E &lt;= $B$1,
Reservas!F:F &gt; $B$1
)
),0
)&gt;0,
""OCUPADA"",
""LIBRE""
)"),"LIBRE")</f>
        <v>LIBRE</v>
      </c>
      <c r="F37" s="54" t="str">
        <f>IFERROR(__xludf.DUMMYFUNCTION("IFERROR(
 INDEX(
  FILTER(
   Reservas!G:G,
   TRIM(TO_TEXT(Reservas!B:B))=TRIM(TO_TEXT(D37)),
   Reservas!E:E&lt;=$B$1,
   Reservas!F:F&gt;$B$1
  ),
 1
 ),
"""")"),"")</f>
        <v/>
      </c>
      <c r="G37" s="57" t="str">
        <f>IFERROR(__xludf.DUMMYFUNCTION("IFERROR(
 INDEX(
  FILTER(
   Reservas!E:E,
   TRIM(TO_TEXT(Reservas!B:B))=TRIM(TO_TEXT(D37)),
   Reservas!E:E&lt;=$B$1,
   Reservas!F:F&gt;$B$1
  ),
 1
 ),
"""")"),"")</f>
        <v/>
      </c>
      <c r="H37" s="57" t="str">
        <f>IFERROR(__xludf.DUMMYFUNCTION("IFERROR(
 INDEX(
  FILTER(
   Reservas!F:F,
   TRIM(TO_TEXT(Reservas!B:B))=TRIM(TO_TEXT(D37)),
   Reservas!E:E&lt;=$B$1,
   Reservas!F:F&gt;$B$1
  ),
 1
 ),
"""")"),"")</f>
        <v/>
      </c>
      <c r="I37" s="54" t="str">
        <f>IFERROR(__xludf.DUMMYFUNCTION("IFERROR(
 INDEX(
  FILTER(
   Reservas!C:C&amp;"" ""&amp;Reservas!D:D,
   TRIM(TO_TEXT(Reservas!B:B))=TRIM(TO_TEXT(D37)),
   Reservas!E:E&lt;=$B$1,
   Reservas!F:F&gt;$B$1
  ),
 1
 ),
"""")"),"")</f>
        <v/>
      </c>
    </row>
    <row r="38">
      <c r="D38" s="50"/>
      <c r="E38" s="54" t="str">
        <f>IFERROR(__xludf.DUMMYFUNCTION("IF(
IFERROR(
ROWS(
FILTER(
Reservas!B:B,
TO_TEXT(TRIM(Reservas!B:B)) = TO_TEXT(TRIM(D38)),
Reservas!E:E &lt;= $B$1,
Reservas!F:F &gt; $B$1
)
),0
)&gt;0,
""OCUPADA"",
""LIBRE""
)"),"LIBRE")</f>
        <v>LIBRE</v>
      </c>
      <c r="F38" s="54" t="str">
        <f>IFERROR(__xludf.DUMMYFUNCTION("IFERROR(
 INDEX(
  FILTER(
   Reservas!G:G,
   TRIM(TO_TEXT(Reservas!B:B))=TRIM(TO_TEXT(D38)),
   Reservas!E:E&lt;=$B$1,
   Reservas!F:F&gt;$B$1
  ),
 1
 ),
"""")"),"")</f>
        <v/>
      </c>
      <c r="G38" s="57" t="str">
        <f>IFERROR(__xludf.DUMMYFUNCTION("IFERROR(
 INDEX(
  FILTER(
   Reservas!E:E,
   TRIM(TO_TEXT(Reservas!B:B))=TRIM(TO_TEXT(D38)),
   Reservas!E:E&lt;=$B$1,
   Reservas!F:F&gt;$B$1
  ),
 1
 ),
"""")"),"")</f>
        <v/>
      </c>
      <c r="H38" s="57" t="str">
        <f>IFERROR(__xludf.DUMMYFUNCTION("IFERROR(
 INDEX(
  FILTER(
   Reservas!F:F,
   TRIM(TO_TEXT(Reservas!B:B))=TRIM(TO_TEXT(D38)),
   Reservas!E:E&lt;=$B$1,
   Reservas!F:F&gt;$B$1
  ),
 1
 ),
"""")"),"")</f>
        <v/>
      </c>
      <c r="I38" s="54" t="str">
        <f>IFERROR(__xludf.DUMMYFUNCTION("IFERROR(
 INDEX(
  FILTER(
   Reservas!C:C&amp;"" ""&amp;Reservas!D:D,
   TRIM(TO_TEXT(Reservas!B:B))=TRIM(TO_TEXT(D38)),
   Reservas!E:E&lt;=$B$1,
   Reservas!F:F&gt;$B$1
  ),
 1
 ),
"""")"),"")</f>
        <v/>
      </c>
    </row>
    <row r="39">
      <c r="D39" s="50"/>
      <c r="E39" s="54" t="str">
        <f>IFERROR(__xludf.DUMMYFUNCTION("IF(
IFERROR(
ROWS(
FILTER(
Reservas!B:B,
TO_TEXT(TRIM(Reservas!B:B)) = TO_TEXT(TRIM(D39)),
Reservas!E:E &lt;= $B$1,
Reservas!F:F &gt; $B$1
)
),0
)&gt;0,
""OCUPADA"",
""LIBRE""
)"),"LIBRE")</f>
        <v>LIBRE</v>
      </c>
      <c r="F39" s="54" t="str">
        <f>IFERROR(__xludf.DUMMYFUNCTION("IFERROR(
 INDEX(
  FILTER(
   Reservas!G:G,
   TRIM(TO_TEXT(Reservas!B:B))=TRIM(TO_TEXT(D39)),
   Reservas!E:E&lt;=$B$1,
   Reservas!F:F&gt;$B$1
  ),
 1
 ),
"""")"),"")</f>
        <v/>
      </c>
      <c r="G39" s="57" t="str">
        <f>IFERROR(__xludf.DUMMYFUNCTION("IFERROR(
 INDEX(
  FILTER(
   Reservas!E:E,
   TRIM(TO_TEXT(Reservas!B:B))=TRIM(TO_TEXT(D39)),
   Reservas!E:E&lt;=$B$1,
   Reservas!F:F&gt;$B$1
  ),
 1
 ),
"""")"),"")</f>
        <v/>
      </c>
      <c r="H39" s="57" t="str">
        <f>IFERROR(__xludf.DUMMYFUNCTION("IFERROR(
 INDEX(
  FILTER(
   Reservas!F:F,
   TRIM(TO_TEXT(Reservas!B:B))=TRIM(TO_TEXT(D39)),
   Reservas!E:E&lt;=$B$1,
   Reservas!F:F&gt;$B$1
  ),
 1
 ),
"""")"),"")</f>
        <v/>
      </c>
      <c r="I39" s="54" t="str">
        <f>IFERROR(__xludf.DUMMYFUNCTION("IFERROR(
 INDEX(
  FILTER(
   Reservas!C:C&amp;"" ""&amp;Reservas!D:D,
   TRIM(TO_TEXT(Reservas!B:B))=TRIM(TO_TEXT(D39)),
   Reservas!E:E&lt;=$B$1,
   Reservas!F:F&gt;$B$1
  ),
 1
 ),
"""")"),"")</f>
        <v/>
      </c>
    </row>
    <row r="40">
      <c r="D40" s="50"/>
      <c r="E40" s="54" t="str">
        <f>IFERROR(__xludf.DUMMYFUNCTION("IF(
IFERROR(
ROWS(
FILTER(
Reservas!B:B,
TO_TEXT(TRIM(Reservas!B:B)) = TO_TEXT(TRIM(D40)),
Reservas!E:E &lt;= $B$1,
Reservas!F:F &gt; $B$1
)
),0
)&gt;0,
""OCUPADA"",
""LIBRE""
)"),"LIBRE")</f>
        <v>LIBRE</v>
      </c>
      <c r="F40" s="54" t="str">
        <f>IFERROR(__xludf.DUMMYFUNCTION("IFERROR(
 INDEX(
  FILTER(
   Reservas!G:G,
   TRIM(TO_TEXT(Reservas!B:B))=TRIM(TO_TEXT(D40)),
   Reservas!E:E&lt;=$B$1,
   Reservas!F:F&gt;$B$1
  ),
 1
 ),
"""")"),"")</f>
        <v/>
      </c>
      <c r="G40" s="57" t="str">
        <f>IFERROR(__xludf.DUMMYFUNCTION("IFERROR(
 INDEX(
  FILTER(
   Reservas!E:E,
   TRIM(TO_TEXT(Reservas!B:B))=TRIM(TO_TEXT(D40)),
   Reservas!E:E&lt;=$B$1,
   Reservas!F:F&gt;$B$1
  ),
 1
 ),
"""")"),"")</f>
        <v/>
      </c>
      <c r="H40" s="57" t="str">
        <f>IFERROR(__xludf.DUMMYFUNCTION("IFERROR(
 INDEX(
  FILTER(
   Reservas!F:F,
   TRIM(TO_TEXT(Reservas!B:B))=TRIM(TO_TEXT(D40)),
   Reservas!E:E&lt;=$B$1,
   Reservas!F:F&gt;$B$1
  ),
 1
 ),
"""")"),"")</f>
        <v/>
      </c>
      <c r="I40" s="54" t="str">
        <f>IFERROR(__xludf.DUMMYFUNCTION("IFERROR(
 INDEX(
  FILTER(
   Reservas!C:C&amp;"" ""&amp;Reservas!D:D,
   TRIM(TO_TEXT(Reservas!B:B))=TRIM(TO_TEXT(D40)),
   Reservas!E:E&lt;=$B$1,
   Reservas!F:F&gt;$B$1
  ),
 1
 ),
"""")"),"")</f>
        <v/>
      </c>
    </row>
    <row r="41">
      <c r="D41" s="50"/>
      <c r="E41" s="54" t="str">
        <f>IFERROR(__xludf.DUMMYFUNCTION("IF(
IFERROR(
ROWS(
FILTER(
Reservas!B:B,
TO_TEXT(TRIM(Reservas!B:B)) = TO_TEXT(TRIM(D41)),
Reservas!E:E &lt;= $B$1,
Reservas!F:F &gt; $B$1
)
),0
)&gt;0,
""OCUPADA"",
""LIBRE""
)"),"LIBRE")</f>
        <v>LIBRE</v>
      </c>
      <c r="F41" s="54" t="str">
        <f>IFERROR(__xludf.DUMMYFUNCTION("IFERROR(
 INDEX(
  FILTER(
   Reservas!G:G,
   TRIM(TO_TEXT(Reservas!B:B))=TRIM(TO_TEXT(D41)),
   Reservas!E:E&lt;=$B$1,
   Reservas!F:F&gt;$B$1
  ),
 1
 ),
"""")"),"")</f>
        <v/>
      </c>
      <c r="G41" s="57" t="str">
        <f>IFERROR(__xludf.DUMMYFUNCTION("IFERROR(
 INDEX(
  FILTER(
   Reservas!E:E,
   TRIM(TO_TEXT(Reservas!B:B))=TRIM(TO_TEXT(D41)),
   Reservas!E:E&lt;=$B$1,
   Reservas!F:F&gt;$B$1
  ),
 1
 ),
"""")"),"")</f>
        <v/>
      </c>
      <c r="H41" s="57" t="str">
        <f>IFERROR(__xludf.DUMMYFUNCTION("IFERROR(
 INDEX(
  FILTER(
   Reservas!F:F,
   TRIM(TO_TEXT(Reservas!B:B))=TRIM(TO_TEXT(D41)),
   Reservas!E:E&lt;=$B$1,
   Reservas!F:F&gt;$B$1
  ),
 1
 ),
"""")"),"")</f>
        <v/>
      </c>
      <c r="I41" s="54" t="str">
        <f>IFERROR(__xludf.DUMMYFUNCTION("IFERROR(
 INDEX(
  FILTER(
   Reservas!C:C&amp;"" ""&amp;Reservas!D:D,
   TRIM(TO_TEXT(Reservas!B:B))=TRIM(TO_TEXT(D41)),
   Reservas!E:E&lt;=$B$1,
   Reservas!F:F&gt;$B$1
  ),
 1
 ),
"""")"),"")</f>
        <v/>
      </c>
    </row>
    <row r="42">
      <c r="D42" s="50"/>
      <c r="E42" s="54" t="str">
        <f>IFERROR(__xludf.DUMMYFUNCTION("IF(
IFERROR(
ROWS(
FILTER(
Reservas!B:B,
TO_TEXT(TRIM(Reservas!B:B)) = TO_TEXT(TRIM(D42)),
Reservas!E:E &lt;= $B$1,
Reservas!F:F &gt; $B$1
)
),0
)&gt;0,
""OCUPADA"",
""LIBRE""
)"),"LIBRE")</f>
        <v>LIBRE</v>
      </c>
      <c r="F42" s="54" t="str">
        <f>IFERROR(__xludf.DUMMYFUNCTION("IFERROR(
 INDEX(
  FILTER(
   Reservas!G:G,
   TRIM(TO_TEXT(Reservas!B:B))=TRIM(TO_TEXT(D42)),
   Reservas!E:E&lt;=$B$1,
   Reservas!F:F&gt;$B$1
  ),
 1
 ),
"""")"),"")</f>
        <v/>
      </c>
      <c r="G42" s="57" t="str">
        <f>IFERROR(__xludf.DUMMYFUNCTION("IFERROR(
 INDEX(
  FILTER(
   Reservas!E:E,
   TRIM(TO_TEXT(Reservas!B:B))=TRIM(TO_TEXT(D42)),
   Reservas!E:E&lt;=$B$1,
   Reservas!F:F&gt;$B$1
  ),
 1
 ),
"""")"),"")</f>
        <v/>
      </c>
      <c r="H42" s="57" t="str">
        <f>IFERROR(__xludf.DUMMYFUNCTION("IFERROR(
 INDEX(
  FILTER(
   Reservas!F:F,
   TRIM(TO_TEXT(Reservas!B:B))=TRIM(TO_TEXT(D42)),
   Reservas!E:E&lt;=$B$1,
   Reservas!F:F&gt;$B$1
  ),
 1
 ),
"""")"),"")</f>
        <v/>
      </c>
      <c r="I42" s="54" t="str">
        <f>IFERROR(__xludf.DUMMYFUNCTION("IFERROR(
 INDEX(
  FILTER(
   Reservas!C:C&amp;"" ""&amp;Reservas!D:D,
   TRIM(TO_TEXT(Reservas!B:B))=TRIM(TO_TEXT(D42)),
   Reservas!E:E&lt;=$B$1,
   Reservas!F:F&gt;$B$1
  ),
 1
 ),
"""")"),"")</f>
        <v/>
      </c>
    </row>
    <row r="43">
      <c r="D43" s="50"/>
      <c r="E43" s="54" t="str">
        <f>IFERROR(__xludf.DUMMYFUNCTION("IF(
IFERROR(
ROWS(
FILTER(
Reservas!B:B,
TO_TEXT(TRIM(Reservas!B:B)) = TO_TEXT(TRIM(D43)),
Reservas!E:E &lt;= $B$1,
Reservas!F:F &gt; $B$1
)
),0
)&gt;0,
""OCUPADA"",
""LIBRE""
)"),"LIBRE")</f>
        <v>LIBRE</v>
      </c>
      <c r="F43" s="54" t="str">
        <f>IFERROR(__xludf.DUMMYFUNCTION("IFERROR(
 INDEX(
  FILTER(
   Reservas!G:G,
   TRIM(TO_TEXT(Reservas!B:B))=TRIM(TO_TEXT(D43)),
   Reservas!E:E&lt;=$B$1,
   Reservas!F:F&gt;$B$1
  ),
 1
 ),
"""")"),"")</f>
        <v/>
      </c>
      <c r="G43" s="57" t="str">
        <f>IFERROR(__xludf.DUMMYFUNCTION("IFERROR(
 INDEX(
  FILTER(
   Reservas!E:E,
   TRIM(TO_TEXT(Reservas!B:B))=TRIM(TO_TEXT(D43)),
   Reservas!E:E&lt;=$B$1,
   Reservas!F:F&gt;$B$1
  ),
 1
 ),
"""")"),"")</f>
        <v/>
      </c>
      <c r="H43" s="57" t="str">
        <f>IFERROR(__xludf.DUMMYFUNCTION("IFERROR(
 INDEX(
  FILTER(
   Reservas!F:F,
   TRIM(TO_TEXT(Reservas!B:B))=TRIM(TO_TEXT(D43)),
   Reservas!E:E&lt;=$B$1,
   Reservas!F:F&gt;$B$1
  ),
 1
 ),
"""")"),"")</f>
        <v/>
      </c>
      <c r="I43" s="54" t="str">
        <f>IFERROR(__xludf.DUMMYFUNCTION("IFERROR(
 INDEX(
  FILTER(
   Reservas!C:C&amp;"" ""&amp;Reservas!D:D,
   TRIM(TO_TEXT(Reservas!B:B))=TRIM(TO_TEXT(D43)),
   Reservas!E:E&lt;=$B$1,
   Reservas!F:F&gt;$B$1
  ),
 1
 ),
"""")"),"")</f>
        <v/>
      </c>
    </row>
    <row r="44">
      <c r="D44" s="50"/>
      <c r="E44" s="54" t="str">
        <f>IFERROR(__xludf.DUMMYFUNCTION("IF(
IFERROR(
ROWS(
FILTER(
Reservas!B:B,
TO_TEXT(TRIM(Reservas!B:B)) = TO_TEXT(TRIM(D44)),
Reservas!E:E &lt;= $B$1,
Reservas!F:F &gt; $B$1
)
),0
)&gt;0,
""OCUPADA"",
""LIBRE""
)"),"LIBRE")</f>
        <v>LIBRE</v>
      </c>
      <c r="F44" s="54" t="str">
        <f>IFERROR(__xludf.DUMMYFUNCTION("IFERROR(
 INDEX(
  FILTER(
   Reservas!G:G,
   TRIM(TO_TEXT(Reservas!B:B))=TRIM(TO_TEXT(D44)),
   Reservas!E:E&lt;=$B$1,
   Reservas!F:F&gt;$B$1
  ),
 1
 ),
"""")"),"")</f>
        <v/>
      </c>
      <c r="G44" s="57" t="str">
        <f>IFERROR(__xludf.DUMMYFUNCTION("IFERROR(
 INDEX(
  FILTER(
   Reservas!E:E,
   TRIM(TO_TEXT(Reservas!B:B))=TRIM(TO_TEXT(D44)),
   Reservas!E:E&lt;=$B$1,
   Reservas!F:F&gt;$B$1
  ),
 1
 ),
"""")"),"")</f>
        <v/>
      </c>
      <c r="H44" s="57" t="str">
        <f>IFERROR(__xludf.DUMMYFUNCTION("IFERROR(
 INDEX(
  FILTER(
   Reservas!F:F,
   TRIM(TO_TEXT(Reservas!B:B))=TRIM(TO_TEXT(D44)),
   Reservas!E:E&lt;=$B$1,
   Reservas!F:F&gt;$B$1
  ),
 1
 ),
"""")"),"")</f>
        <v/>
      </c>
      <c r="I44" s="54" t="str">
        <f>IFERROR(__xludf.DUMMYFUNCTION("IFERROR(
 INDEX(
  FILTER(
   Reservas!C:C&amp;"" ""&amp;Reservas!D:D,
   TRIM(TO_TEXT(Reservas!B:B))=TRIM(TO_TEXT(D44)),
   Reservas!E:E&lt;=$B$1,
   Reservas!F:F&gt;$B$1
  ),
 1
 ),
"""")"),"")</f>
        <v/>
      </c>
    </row>
    <row r="45">
      <c r="D45" s="50"/>
      <c r="E45" s="54" t="str">
        <f>IFERROR(__xludf.DUMMYFUNCTION("IF(
IFERROR(
ROWS(
FILTER(
Reservas!B:B,
TO_TEXT(TRIM(Reservas!B:B)) = TO_TEXT(TRIM(D45)),
Reservas!E:E &lt;= $B$1,
Reservas!F:F &gt; $B$1
)
),0
)&gt;0,
""OCUPADA"",
""LIBRE""
)"),"LIBRE")</f>
        <v>LIBRE</v>
      </c>
      <c r="F45" s="54" t="str">
        <f>IFERROR(__xludf.DUMMYFUNCTION("IFERROR(
 INDEX(
  FILTER(
   Reservas!G:G,
   TRIM(TO_TEXT(Reservas!B:B))=TRIM(TO_TEXT(D45)),
   Reservas!E:E&lt;=$B$1,
   Reservas!F:F&gt;$B$1
  ),
 1
 ),
"""")"),"")</f>
        <v/>
      </c>
      <c r="G45" s="57" t="str">
        <f>IFERROR(__xludf.DUMMYFUNCTION("IFERROR(
 INDEX(
  FILTER(
   Reservas!E:E,
   TRIM(TO_TEXT(Reservas!B:B))=TRIM(TO_TEXT(D45)),
   Reservas!E:E&lt;=$B$1,
   Reservas!F:F&gt;$B$1
  ),
 1
 ),
"""")"),"")</f>
        <v/>
      </c>
      <c r="H45" s="57" t="str">
        <f>IFERROR(__xludf.DUMMYFUNCTION("IFERROR(
 INDEX(
  FILTER(
   Reservas!F:F,
   TRIM(TO_TEXT(Reservas!B:B))=TRIM(TO_TEXT(D45)),
   Reservas!E:E&lt;=$B$1,
   Reservas!F:F&gt;$B$1
  ),
 1
 ),
"""")"),"")</f>
        <v/>
      </c>
      <c r="I45" s="54" t="str">
        <f>IFERROR(__xludf.DUMMYFUNCTION("IFERROR(
 INDEX(
  FILTER(
   Reservas!C:C&amp;"" ""&amp;Reservas!D:D,
   TRIM(TO_TEXT(Reservas!B:B))=TRIM(TO_TEXT(D45)),
   Reservas!E:E&lt;=$B$1,
   Reservas!F:F&gt;$B$1
  ),
 1
 ),
"""")"),"")</f>
        <v/>
      </c>
    </row>
    <row r="46">
      <c r="D46" s="50"/>
      <c r="E46" s="54" t="str">
        <f>IFERROR(__xludf.DUMMYFUNCTION("IF(
IFERROR(
ROWS(
FILTER(
Reservas!B:B,
TO_TEXT(TRIM(Reservas!B:B)) = TO_TEXT(TRIM(D46)),
Reservas!E:E &lt;= $B$1,
Reservas!F:F &gt; $B$1
)
),0
)&gt;0,
""OCUPADA"",
""LIBRE""
)"),"LIBRE")</f>
        <v>LIBRE</v>
      </c>
      <c r="F46" s="54" t="str">
        <f>IFERROR(__xludf.DUMMYFUNCTION("IFERROR(
 INDEX(
  FILTER(
   Reservas!G:G,
   TRIM(TO_TEXT(Reservas!B:B))=TRIM(TO_TEXT(D46)),
   Reservas!E:E&lt;=$B$1,
   Reservas!F:F&gt;$B$1
  ),
 1
 ),
"""")"),"")</f>
        <v/>
      </c>
      <c r="G46" s="57" t="str">
        <f>IFERROR(__xludf.DUMMYFUNCTION("IFERROR(
 INDEX(
  FILTER(
   Reservas!E:E,
   TRIM(TO_TEXT(Reservas!B:B))=TRIM(TO_TEXT(D46)),
   Reservas!E:E&lt;=$B$1,
   Reservas!F:F&gt;$B$1
  ),
 1
 ),
"""")"),"")</f>
        <v/>
      </c>
      <c r="H46" s="57" t="str">
        <f>IFERROR(__xludf.DUMMYFUNCTION("IFERROR(
 INDEX(
  FILTER(
   Reservas!F:F,
   TRIM(TO_TEXT(Reservas!B:B))=TRIM(TO_TEXT(D46)),
   Reservas!E:E&lt;=$B$1,
   Reservas!F:F&gt;$B$1
  ),
 1
 ),
"""")"),"")</f>
        <v/>
      </c>
      <c r="I46" s="54" t="str">
        <f>IFERROR(__xludf.DUMMYFUNCTION("IFERROR(
 INDEX(
  FILTER(
   Reservas!C:C&amp;"" ""&amp;Reservas!D:D,
   TRIM(TO_TEXT(Reservas!B:B))=TRIM(TO_TEXT(D46)),
   Reservas!E:E&lt;=$B$1,
   Reservas!F:F&gt;$B$1
  ),
 1
 ),
"""")"),"")</f>
        <v/>
      </c>
    </row>
    <row r="47">
      <c r="D47" s="69"/>
      <c r="E47" s="54" t="str">
        <f>IFERROR(__xludf.DUMMYFUNCTION("IF(
IFERROR(
ROWS(
FILTER(
Reservas!B:B,
TO_TEXT(TRIM(Reservas!B:B)) = TO_TEXT(TRIM(D47)),
Reservas!E:E &lt;= $B$1,
Reservas!F:F &gt; $B$1
)
),0
)&gt;0,
""OCUPADA"",
""LIBRE""
)"),"LIBRE")</f>
        <v>LIBRE</v>
      </c>
      <c r="F47" s="54" t="str">
        <f>IFERROR(__xludf.DUMMYFUNCTION("IFERROR(
 INDEX(
  FILTER(
   Reservas!G:G,
   TRIM(TO_TEXT(Reservas!B:B))=TRIM(TO_TEXT(D47)),
   Reservas!E:E&lt;=$B$1,
   Reservas!F:F&gt;$B$1
  ),
 1
 ),
"""")"),"")</f>
        <v/>
      </c>
      <c r="G47" s="57" t="str">
        <f>IFERROR(__xludf.DUMMYFUNCTION("IFERROR(
 INDEX(
  FILTER(
   Reservas!E:E,
   TRIM(TO_TEXT(Reservas!B:B))=TRIM(TO_TEXT(D47)),
   Reservas!E:E&lt;=$B$1,
   Reservas!F:F&gt;$B$1
  ),
 1
 ),
"""")"),"")</f>
        <v/>
      </c>
      <c r="H47" s="57" t="str">
        <f>IFERROR(__xludf.DUMMYFUNCTION("IFERROR(
 INDEX(
  FILTER(
   Reservas!F:F,
   TRIM(TO_TEXT(Reservas!B:B))=TRIM(TO_TEXT(D47)),
   Reservas!E:E&lt;=$B$1,
   Reservas!F:F&gt;$B$1
  ),
 1
 ),
"""")"),"")</f>
        <v/>
      </c>
      <c r="I47" s="54" t="str">
        <f>IFERROR(__xludf.DUMMYFUNCTION("IFERROR(
 INDEX(
  FILTER(
   Reservas!C:C&amp;"" ""&amp;Reservas!D:D,
   TRIM(TO_TEXT(Reservas!B:B))=TRIM(TO_TEXT(D47)),
   Reservas!E:E&lt;=$B$1,
   Reservas!F:F&gt;$B$1
  ),
 1
 ),
"""")"),"")</f>
        <v/>
      </c>
    </row>
    <row r="48">
      <c r="D48" s="50"/>
      <c r="E48" s="54" t="str">
        <f>IFERROR(__xludf.DUMMYFUNCTION("IF(
IFERROR(
ROWS(
FILTER(
Reservas!B:B,
TO_TEXT(TRIM(Reservas!B:B)) = TO_TEXT(TRIM(D48)),
Reservas!E:E &lt;= $B$1,
Reservas!F:F &gt; $B$1
)
),0
)&gt;0,
""OCUPADA"",
""LIBRE""
)"),"LIBRE")</f>
        <v>LIBRE</v>
      </c>
      <c r="F48" s="54" t="str">
        <f>IFERROR(__xludf.DUMMYFUNCTION("IFERROR(
 INDEX(
  FILTER(
   Reservas!G:G,
   TRIM(TO_TEXT(Reservas!B:B))=TRIM(TO_TEXT(D48)),
   Reservas!E:E&lt;=$B$1,
   Reservas!F:F&gt;$B$1
  ),
 1
 ),
"""")"),"")</f>
        <v/>
      </c>
      <c r="G48" s="57" t="str">
        <f>IFERROR(__xludf.DUMMYFUNCTION("IFERROR(
 INDEX(
  FILTER(
   Reservas!E:E,
   TRIM(TO_TEXT(Reservas!B:B))=TRIM(TO_TEXT(D48)),
   Reservas!E:E&lt;=$B$1,
   Reservas!F:F&gt;$B$1
  ),
 1
 ),
"""")"),"")</f>
        <v/>
      </c>
      <c r="H48" s="57" t="str">
        <f>IFERROR(__xludf.DUMMYFUNCTION("IFERROR(
 INDEX(
  FILTER(
   Reservas!F:F,
   TRIM(TO_TEXT(Reservas!B:B))=TRIM(TO_TEXT(D48)),
   Reservas!E:E&lt;=$B$1,
   Reservas!F:F&gt;$B$1
  ),
 1
 ),
"""")"),"")</f>
        <v/>
      </c>
      <c r="I48" s="54" t="str">
        <f>IFERROR(__xludf.DUMMYFUNCTION("IFERROR(
 INDEX(
  FILTER(
   Reservas!C:C&amp;"" ""&amp;Reservas!D:D,
   TRIM(TO_TEXT(Reservas!B:B))=TRIM(TO_TEXT(D48)),
   Reservas!E:E&lt;=$B$1,
   Reservas!F:F&gt;$B$1
  ),
 1
 ),
"""")"),"")</f>
        <v/>
      </c>
    </row>
    <row r="49">
      <c r="D49" s="8"/>
      <c r="G49" s="61"/>
      <c r="H49" s="61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  <row r="1004">
      <c r="D1004" s="8"/>
    </row>
    <row r="1005">
      <c r="D1005" s="8"/>
    </row>
    <row r="1006">
      <c r="D1006" s="8"/>
    </row>
    <row r="1007">
      <c r="D1007" s="8"/>
    </row>
    <row r="1008">
      <c r="D1008" s="8"/>
    </row>
    <row r="1009">
      <c r="D1009" s="8"/>
    </row>
    <row r="1010">
      <c r="D1010" s="8"/>
    </row>
    <row r="1011">
      <c r="D1011" s="8"/>
    </row>
    <row r="1012">
      <c r="D1012" s="8"/>
    </row>
    <row r="1013">
      <c r="D1013" s="8"/>
    </row>
    <row r="1014">
      <c r="D1014" s="8"/>
    </row>
    <row r="1015">
      <c r="D1015" s="8"/>
    </row>
    <row r="1016">
      <c r="D1016" s="8"/>
    </row>
    <row r="1017">
      <c r="D1017" s="8"/>
    </row>
    <row r="1018">
      <c r="D1018" s="8"/>
    </row>
    <row r="1019">
      <c r="D1019" s="8"/>
    </row>
    <row r="1020">
      <c r="D1020" s="8"/>
    </row>
    <row r="1021">
      <c r="D1021" s="8"/>
    </row>
    <row r="1022">
      <c r="D1022" s="8"/>
    </row>
    <row r="1023">
      <c r="D1023" s="8"/>
    </row>
    <row r="1024">
      <c r="D1024" s="8"/>
    </row>
    <row r="1025">
      <c r="D1025" s="8"/>
    </row>
    <row r="1026">
      <c r="D1026" s="8"/>
    </row>
    <row r="1027">
      <c r="D1027" s="8"/>
    </row>
    <row r="1028">
      <c r="D1028" s="8"/>
    </row>
    <row r="1029">
      <c r="D1029" s="8"/>
    </row>
    <row r="1030">
      <c r="D1030" s="8"/>
    </row>
    <row r="1031">
      <c r="D1031" s="8"/>
    </row>
    <row r="1032">
      <c r="D1032" s="8"/>
    </row>
    <row r="1033">
      <c r="D1033" s="8"/>
    </row>
    <row r="1034">
      <c r="D1034" s="8"/>
    </row>
    <row r="1035">
      <c r="D1035" s="8"/>
    </row>
    <row r="1036">
      <c r="D1036" s="8"/>
    </row>
    <row r="1037">
      <c r="D1037" s="8"/>
    </row>
    <row r="1038">
      <c r="D1038" s="8"/>
    </row>
    <row r="1039">
      <c r="D1039" s="8"/>
    </row>
    <row r="1040">
      <c r="D1040" s="8"/>
    </row>
    <row r="1041">
      <c r="D1041" s="8"/>
    </row>
    <row r="1042">
      <c r="D1042" s="8"/>
    </row>
    <row r="1043">
      <c r="D1043" s="8"/>
    </row>
    <row r="1044">
      <c r="D1044" s="8"/>
    </row>
    <row r="1045">
      <c r="D1045" s="8"/>
    </row>
    <row r="1046">
      <c r="D1046" s="8"/>
    </row>
    <row r="1047">
      <c r="D1047" s="8"/>
    </row>
    <row r="1048">
      <c r="D1048" s="8"/>
    </row>
    <row r="1049">
      <c r="D1049" s="8"/>
    </row>
    <row r="1050">
      <c r="D1050" s="8"/>
    </row>
    <row r="1051">
      <c r="D1051" s="8"/>
    </row>
    <row r="1052">
      <c r="D1052" s="8"/>
    </row>
    <row r="1053">
      <c r="D1053" s="8"/>
    </row>
    <row r="1054">
      <c r="D1054" s="8"/>
    </row>
    <row r="1055">
      <c r="D1055" s="8"/>
    </row>
    <row r="1056">
      <c r="D1056" s="8"/>
    </row>
    <row r="1057">
      <c r="D1057" s="8"/>
    </row>
    <row r="1058">
      <c r="D1058" s="8"/>
    </row>
    <row r="1059">
      <c r="D1059" s="8"/>
    </row>
    <row r="1060">
      <c r="D1060" s="8"/>
    </row>
    <row r="1061">
      <c r="D1061" s="8"/>
    </row>
    <row r="1062">
      <c r="D1062" s="8"/>
    </row>
    <row r="1063">
      <c r="D1063" s="8"/>
    </row>
    <row r="1064">
      <c r="D1064" s="8"/>
    </row>
    <row r="1065">
      <c r="D1065" s="8"/>
    </row>
    <row r="1066">
      <c r="D1066" s="8"/>
    </row>
    <row r="1067">
      <c r="D1067" s="8"/>
    </row>
    <row r="1068">
      <c r="D1068" s="8"/>
    </row>
    <row r="1069">
      <c r="D1069" s="8"/>
    </row>
    <row r="1070">
      <c r="D1070" s="8"/>
    </row>
    <row r="1071">
      <c r="D1071" s="8"/>
    </row>
    <row r="1072">
      <c r="D1072" s="8"/>
    </row>
    <row r="1073">
      <c r="D1073" s="8"/>
    </row>
    <row r="1074">
      <c r="D1074" s="8"/>
    </row>
    <row r="1075">
      <c r="D1075" s="8"/>
    </row>
    <row r="1076">
      <c r="D1076" s="8"/>
    </row>
    <row r="1077">
      <c r="D1077" s="8"/>
    </row>
    <row r="1078">
      <c r="D1078" s="8"/>
    </row>
    <row r="1079">
      <c r="D1079" s="8"/>
    </row>
    <row r="1080">
      <c r="D1080" s="8"/>
    </row>
    <row r="1081">
      <c r="D1081" s="8"/>
    </row>
    <row r="1082">
      <c r="D1082" s="8"/>
    </row>
    <row r="1083">
      <c r="D1083" s="8"/>
    </row>
    <row r="1084">
      <c r="D1084" s="8"/>
    </row>
    <row r="1085">
      <c r="D1085" s="8"/>
    </row>
    <row r="1086">
      <c r="D1086" s="8"/>
    </row>
    <row r="1087">
      <c r="D1087" s="8"/>
    </row>
    <row r="1088">
      <c r="D1088" s="8"/>
    </row>
    <row r="1089">
      <c r="D1089" s="8"/>
    </row>
    <row r="1090">
      <c r="D1090" s="8"/>
    </row>
    <row r="1091">
      <c r="D1091" s="8"/>
    </row>
    <row r="1092">
      <c r="D1092" s="8"/>
    </row>
    <row r="1093">
      <c r="D1093" s="8"/>
    </row>
    <row r="1094">
      <c r="D1094" s="8"/>
    </row>
    <row r="1095">
      <c r="D1095" s="8"/>
    </row>
    <row r="1096">
      <c r="D1096" s="8"/>
    </row>
    <row r="1097">
      <c r="D1097" s="8"/>
    </row>
    <row r="1098">
      <c r="D1098" s="8"/>
    </row>
    <row r="1099">
      <c r="D1099" s="8"/>
    </row>
    <row r="1100">
      <c r="D1100" s="8"/>
    </row>
    <row r="1101">
      <c r="D1101" s="8"/>
    </row>
    <row r="1102">
      <c r="D1102" s="8"/>
    </row>
    <row r="1103">
      <c r="D1103" s="8"/>
    </row>
    <row r="1104">
      <c r="D1104" s="8"/>
    </row>
    <row r="1105">
      <c r="D1105" s="8"/>
    </row>
    <row r="1106">
      <c r="D1106" s="8"/>
    </row>
    <row r="1107">
      <c r="D1107" s="8"/>
    </row>
    <row r="1108">
      <c r="D1108" s="8"/>
    </row>
    <row r="1109">
      <c r="D1109" s="8"/>
    </row>
    <row r="1110">
      <c r="D1110" s="8"/>
    </row>
    <row r="1111">
      <c r="D1111" s="8"/>
    </row>
    <row r="1112">
      <c r="D1112" s="8"/>
    </row>
    <row r="1113">
      <c r="D1113" s="8"/>
    </row>
    <row r="1114">
      <c r="D1114" s="8"/>
    </row>
    <row r="1115">
      <c r="D1115" s="8"/>
    </row>
    <row r="1116">
      <c r="D1116" s="8"/>
    </row>
    <row r="1117">
      <c r="D1117" s="8"/>
    </row>
    <row r="1118">
      <c r="D1118" s="8"/>
    </row>
    <row r="1119">
      <c r="D1119" s="8"/>
    </row>
    <row r="1120">
      <c r="D1120" s="8"/>
    </row>
    <row r="1121">
      <c r="D1121" s="8"/>
    </row>
    <row r="1122">
      <c r="D1122" s="8"/>
    </row>
    <row r="1123">
      <c r="D1123" s="8"/>
    </row>
    <row r="1124">
      <c r="D1124" s="8"/>
    </row>
    <row r="1125">
      <c r="D1125" s="8"/>
    </row>
    <row r="1126">
      <c r="D1126" s="8"/>
    </row>
    <row r="1127">
      <c r="D1127" s="8"/>
    </row>
    <row r="1128">
      <c r="D1128" s="8"/>
    </row>
    <row r="1129">
      <c r="D1129" s="8"/>
    </row>
    <row r="1130">
      <c r="D1130" s="8"/>
    </row>
    <row r="1131">
      <c r="D1131" s="8"/>
    </row>
    <row r="1132">
      <c r="D1132" s="8"/>
    </row>
    <row r="1133">
      <c r="D1133" s="8"/>
    </row>
    <row r="1134">
      <c r="D1134" s="8"/>
    </row>
    <row r="1135">
      <c r="D1135" s="8"/>
    </row>
    <row r="1136">
      <c r="D1136" s="8"/>
    </row>
    <row r="1137">
      <c r="D1137" s="8"/>
    </row>
    <row r="1138">
      <c r="D1138" s="8"/>
    </row>
    <row r="1139">
      <c r="D1139" s="8"/>
    </row>
    <row r="1140">
      <c r="D1140" s="8"/>
    </row>
    <row r="1141">
      <c r="D1141" s="8"/>
    </row>
    <row r="1142">
      <c r="D1142" s="8"/>
    </row>
    <row r="1143">
      <c r="D1143" s="8"/>
    </row>
    <row r="1144">
      <c r="D1144" s="8"/>
    </row>
    <row r="1145">
      <c r="D1145" s="8"/>
    </row>
    <row r="1146">
      <c r="D1146" s="8"/>
    </row>
    <row r="1147">
      <c r="D1147" s="8"/>
    </row>
    <row r="1148">
      <c r="D1148" s="8"/>
    </row>
    <row r="1149">
      <c r="D1149" s="8"/>
    </row>
    <row r="1150">
      <c r="D1150" s="8"/>
    </row>
    <row r="1151">
      <c r="D1151" s="8"/>
    </row>
    <row r="1152">
      <c r="D1152" s="8"/>
    </row>
    <row r="1153">
      <c r="D1153" s="8"/>
    </row>
    <row r="1154">
      <c r="D1154" s="8"/>
    </row>
    <row r="1155">
      <c r="D1155" s="8"/>
    </row>
    <row r="1156">
      <c r="D1156" s="8"/>
    </row>
    <row r="1157">
      <c r="D1157" s="8"/>
    </row>
    <row r="1158">
      <c r="D1158" s="8"/>
    </row>
    <row r="1159">
      <c r="D1159" s="8"/>
    </row>
    <row r="1160">
      <c r="D1160" s="8"/>
    </row>
    <row r="1161">
      <c r="D1161" s="8"/>
    </row>
    <row r="1162">
      <c r="D1162" s="8"/>
    </row>
    <row r="1163">
      <c r="D1163" s="8"/>
    </row>
    <row r="1164">
      <c r="D1164" s="8"/>
    </row>
    <row r="1165">
      <c r="D1165" s="8"/>
    </row>
    <row r="1166">
      <c r="D1166" s="8"/>
    </row>
    <row r="1167">
      <c r="D1167" s="8"/>
    </row>
    <row r="1168">
      <c r="D1168" s="8"/>
    </row>
    <row r="1169">
      <c r="D1169" s="8"/>
    </row>
    <row r="1170">
      <c r="D1170" s="8"/>
    </row>
    <row r="1171">
      <c r="D1171" s="8"/>
    </row>
    <row r="1172">
      <c r="D1172" s="8"/>
    </row>
    <row r="1173">
      <c r="D1173" s="8"/>
    </row>
    <row r="1174">
      <c r="D1174" s="8"/>
    </row>
    <row r="1175">
      <c r="D1175" s="8"/>
    </row>
    <row r="1176">
      <c r="D1176" s="8"/>
    </row>
    <row r="1177">
      <c r="D1177" s="8"/>
    </row>
    <row r="1178">
      <c r="D1178" s="8"/>
    </row>
    <row r="1179">
      <c r="D1179" s="8"/>
    </row>
    <row r="1180">
      <c r="D1180" s="8"/>
    </row>
    <row r="1181">
      <c r="D1181" s="8"/>
    </row>
    <row r="1182">
      <c r="D1182" s="8"/>
    </row>
    <row r="1183">
      <c r="D1183" s="8"/>
    </row>
    <row r="1184">
      <c r="D1184" s="8"/>
    </row>
    <row r="1185">
      <c r="D1185" s="8"/>
    </row>
    <row r="1186">
      <c r="D1186" s="8"/>
    </row>
    <row r="1187">
      <c r="D1187" s="8"/>
    </row>
    <row r="1188">
      <c r="D1188" s="8"/>
    </row>
    <row r="1189">
      <c r="D1189" s="8"/>
    </row>
    <row r="1190">
      <c r="D1190" s="8"/>
    </row>
    <row r="1191">
      <c r="D1191" s="8"/>
    </row>
    <row r="1192">
      <c r="D1192" s="8"/>
    </row>
    <row r="1193">
      <c r="D1193" s="8"/>
    </row>
    <row r="1194">
      <c r="D1194" s="8"/>
    </row>
    <row r="1195">
      <c r="D1195" s="8"/>
    </row>
    <row r="1196">
      <c r="D1196" s="8"/>
    </row>
    <row r="1197">
      <c r="D1197" s="8"/>
    </row>
    <row r="1198">
      <c r="D1198" s="8"/>
    </row>
    <row r="1199">
      <c r="D1199" s="8"/>
    </row>
    <row r="1200">
      <c r="D1200" s="8"/>
    </row>
    <row r="1201">
      <c r="D1201" s="8"/>
    </row>
    <row r="1202">
      <c r="D1202" s="8"/>
    </row>
    <row r="1203">
      <c r="D1203" s="8"/>
    </row>
    <row r="1204">
      <c r="D1204" s="8"/>
    </row>
    <row r="1205">
      <c r="D1205" s="8"/>
    </row>
    <row r="1206">
      <c r="D1206" s="8"/>
    </row>
    <row r="1207">
      <c r="D1207" s="8"/>
    </row>
    <row r="1208">
      <c r="D1208" s="8"/>
    </row>
    <row r="1209">
      <c r="D1209" s="8"/>
    </row>
    <row r="1210">
      <c r="D1210" s="8"/>
    </row>
    <row r="1211">
      <c r="D1211" s="8"/>
    </row>
    <row r="1212">
      <c r="D1212" s="8"/>
    </row>
    <row r="1213">
      <c r="D1213" s="8"/>
    </row>
    <row r="1214">
      <c r="D1214" s="8"/>
    </row>
    <row r="1215">
      <c r="D1215" s="8"/>
    </row>
    <row r="1216">
      <c r="D1216" s="8"/>
    </row>
    <row r="1217">
      <c r="D1217" s="8"/>
    </row>
    <row r="1218">
      <c r="D1218" s="8"/>
    </row>
    <row r="1219">
      <c r="D1219" s="8"/>
    </row>
    <row r="1220">
      <c r="D1220" s="8"/>
    </row>
    <row r="1221">
      <c r="D1221" s="8"/>
    </row>
    <row r="1222">
      <c r="D1222" s="8"/>
    </row>
    <row r="1223">
      <c r="D1223" s="8"/>
    </row>
    <row r="1224">
      <c r="D1224" s="8"/>
    </row>
    <row r="1225">
      <c r="D1225" s="8"/>
    </row>
    <row r="1226">
      <c r="D1226" s="8"/>
    </row>
    <row r="1227">
      <c r="D1227" s="8"/>
    </row>
    <row r="1228">
      <c r="D1228" s="8"/>
    </row>
    <row r="1229">
      <c r="D1229" s="8"/>
    </row>
    <row r="1230">
      <c r="D1230" s="8"/>
    </row>
    <row r="1231">
      <c r="D1231" s="8"/>
    </row>
    <row r="1232">
      <c r="D1232" s="8"/>
    </row>
    <row r="1233">
      <c r="D1233" s="8"/>
    </row>
    <row r="1234">
      <c r="D1234" s="8"/>
    </row>
    <row r="1235">
      <c r="D1235" s="8"/>
    </row>
    <row r="1236">
      <c r="D1236" s="8"/>
    </row>
    <row r="1237">
      <c r="D1237" s="8"/>
    </row>
    <row r="1238">
      <c r="D1238" s="8"/>
    </row>
    <row r="1239">
      <c r="D1239" s="8"/>
    </row>
    <row r="1240">
      <c r="D1240" s="8"/>
    </row>
    <row r="1241">
      <c r="D1241" s="8"/>
    </row>
    <row r="1242">
      <c r="D1242" s="8"/>
    </row>
    <row r="1243">
      <c r="D1243" s="8"/>
    </row>
    <row r="1244">
      <c r="D1244" s="8"/>
    </row>
    <row r="1245">
      <c r="D1245" s="8"/>
    </row>
    <row r="1246">
      <c r="D1246" s="8"/>
    </row>
    <row r="1247">
      <c r="D1247" s="8"/>
    </row>
    <row r="1248">
      <c r="D1248" s="8"/>
    </row>
    <row r="1249">
      <c r="D1249" s="8"/>
    </row>
    <row r="1250">
      <c r="D1250" s="8"/>
    </row>
    <row r="1251">
      <c r="D1251" s="8"/>
    </row>
    <row r="1252">
      <c r="D1252" s="8"/>
    </row>
    <row r="1253">
      <c r="D1253" s="8"/>
    </row>
    <row r="1254">
      <c r="D1254" s="8"/>
    </row>
    <row r="1255">
      <c r="D1255" s="8"/>
    </row>
    <row r="1256">
      <c r="D1256" s="8"/>
    </row>
    <row r="1257">
      <c r="D1257" s="8"/>
    </row>
    <row r="1258">
      <c r="D1258" s="8"/>
    </row>
    <row r="1259">
      <c r="D1259" s="8"/>
    </row>
    <row r="1260">
      <c r="D1260" s="8"/>
    </row>
    <row r="1261">
      <c r="D1261" s="8"/>
    </row>
    <row r="1262">
      <c r="D1262" s="8"/>
    </row>
    <row r="1263">
      <c r="D1263" s="8"/>
    </row>
    <row r="1264">
      <c r="D1264" s="8"/>
    </row>
    <row r="1265">
      <c r="D1265" s="8"/>
    </row>
    <row r="1266">
      <c r="D1266" s="8"/>
    </row>
    <row r="1267">
      <c r="D1267" s="8"/>
    </row>
    <row r="1268">
      <c r="D1268" s="8"/>
    </row>
    <row r="1269">
      <c r="D1269" s="8"/>
    </row>
    <row r="1270">
      <c r="D1270" s="8"/>
    </row>
    <row r="1271">
      <c r="D1271" s="8"/>
    </row>
    <row r="1272">
      <c r="D1272" s="8"/>
    </row>
    <row r="1273">
      <c r="D1273" s="8"/>
    </row>
    <row r="1274">
      <c r="D1274" s="8"/>
    </row>
    <row r="1275">
      <c r="D1275" s="8"/>
    </row>
    <row r="1276">
      <c r="D1276" s="8"/>
    </row>
    <row r="1277">
      <c r="D1277" s="8"/>
    </row>
    <row r="1278">
      <c r="D1278" s="8"/>
    </row>
    <row r="1279">
      <c r="D1279" s="8"/>
    </row>
    <row r="1280">
      <c r="D1280" s="8"/>
    </row>
    <row r="1281">
      <c r="D1281" s="8"/>
    </row>
    <row r="1282">
      <c r="D1282" s="8"/>
    </row>
    <row r="1283">
      <c r="D1283" s="8"/>
    </row>
    <row r="1284">
      <c r="D1284" s="8"/>
    </row>
    <row r="1285">
      <c r="D1285" s="8"/>
    </row>
    <row r="1286">
      <c r="D1286" s="8"/>
    </row>
    <row r="1287">
      <c r="D1287" s="8"/>
    </row>
    <row r="1288">
      <c r="D1288" s="8"/>
    </row>
    <row r="1289">
      <c r="D1289" s="8"/>
    </row>
    <row r="1290">
      <c r="D1290" s="8"/>
    </row>
    <row r="1291">
      <c r="D1291" s="8"/>
    </row>
    <row r="1292">
      <c r="D1292" s="8"/>
    </row>
    <row r="1293">
      <c r="D1293" s="8"/>
    </row>
    <row r="1294">
      <c r="D1294" s="8"/>
    </row>
    <row r="1295">
      <c r="D1295" s="8"/>
    </row>
    <row r="1296">
      <c r="D1296" s="8"/>
    </row>
    <row r="1297">
      <c r="D1297" s="8"/>
    </row>
    <row r="1298">
      <c r="D1298" s="8"/>
    </row>
    <row r="1299">
      <c r="D1299" s="8"/>
    </row>
    <row r="1300">
      <c r="D1300" s="8"/>
    </row>
    <row r="1301">
      <c r="D1301" s="8"/>
    </row>
    <row r="1302">
      <c r="D1302" s="8"/>
    </row>
    <row r="1303">
      <c r="D1303" s="8"/>
    </row>
    <row r="1304">
      <c r="D1304" s="8"/>
    </row>
    <row r="1305">
      <c r="D1305" s="8"/>
    </row>
    <row r="1306">
      <c r="D1306" s="8"/>
    </row>
    <row r="1307">
      <c r="D1307" s="8"/>
    </row>
    <row r="1308">
      <c r="D1308" s="8"/>
    </row>
    <row r="1309">
      <c r="D1309" s="8"/>
    </row>
    <row r="1310">
      <c r="D1310" s="8"/>
    </row>
    <row r="1311">
      <c r="D1311" s="8"/>
    </row>
    <row r="1312">
      <c r="D1312" s="8"/>
    </row>
    <row r="1313">
      <c r="D1313" s="8"/>
    </row>
    <row r="1314">
      <c r="D1314" s="8"/>
    </row>
    <row r="1315">
      <c r="D1315" s="8"/>
    </row>
    <row r="1316">
      <c r="D1316" s="8"/>
    </row>
    <row r="1317">
      <c r="D1317" s="8"/>
    </row>
    <row r="1318">
      <c r="D1318" s="8"/>
    </row>
    <row r="1319">
      <c r="D1319" s="8"/>
    </row>
    <row r="1320">
      <c r="D1320" s="8"/>
    </row>
    <row r="1321">
      <c r="D1321" s="8"/>
    </row>
    <row r="1322">
      <c r="D1322" s="8"/>
    </row>
    <row r="1323">
      <c r="D1323" s="8"/>
    </row>
    <row r="1324">
      <c r="D1324" s="8"/>
    </row>
    <row r="1325">
      <c r="D1325" s="8"/>
    </row>
    <row r="1326">
      <c r="D1326" s="8"/>
    </row>
    <row r="1327">
      <c r="D1327" s="8"/>
    </row>
    <row r="1328">
      <c r="D1328" s="8"/>
    </row>
    <row r="1329">
      <c r="D1329" s="8"/>
    </row>
    <row r="1330">
      <c r="D1330" s="8"/>
    </row>
    <row r="1331">
      <c r="D1331" s="8"/>
    </row>
    <row r="1332">
      <c r="D1332" s="8"/>
    </row>
    <row r="1333">
      <c r="D1333" s="8"/>
    </row>
    <row r="1334">
      <c r="D1334" s="8"/>
    </row>
    <row r="1335">
      <c r="D1335" s="8"/>
    </row>
    <row r="1336">
      <c r="D1336" s="8"/>
    </row>
    <row r="1337">
      <c r="D1337" s="8"/>
    </row>
    <row r="1338">
      <c r="D1338" s="8"/>
    </row>
    <row r="1339">
      <c r="D1339" s="8"/>
    </row>
    <row r="1340">
      <c r="D1340" s="8"/>
    </row>
    <row r="1341">
      <c r="D1341" s="8"/>
    </row>
    <row r="1342">
      <c r="D1342" s="8"/>
    </row>
    <row r="1343">
      <c r="D1343" s="8"/>
    </row>
    <row r="1344">
      <c r="D1344" s="8"/>
    </row>
    <row r="1345">
      <c r="D1345" s="8"/>
    </row>
    <row r="1346">
      <c r="D1346" s="8"/>
    </row>
    <row r="1347">
      <c r="D1347" s="8"/>
    </row>
    <row r="1348">
      <c r="D1348" s="8"/>
    </row>
    <row r="1349">
      <c r="D1349" s="8"/>
    </row>
    <row r="1350">
      <c r="D1350" s="8"/>
    </row>
    <row r="1351">
      <c r="D1351" s="8"/>
    </row>
    <row r="1352">
      <c r="D1352" s="8"/>
    </row>
    <row r="1353">
      <c r="D1353" s="8"/>
    </row>
    <row r="1354">
      <c r="D1354" s="8"/>
    </row>
    <row r="1355">
      <c r="D1355" s="8"/>
    </row>
    <row r="1356">
      <c r="D1356" s="8"/>
    </row>
    <row r="1357">
      <c r="D1357" s="8"/>
    </row>
    <row r="1358">
      <c r="D1358" s="8"/>
    </row>
    <row r="1359">
      <c r="D1359" s="8"/>
    </row>
    <row r="1360">
      <c r="D1360" s="8"/>
    </row>
    <row r="1361">
      <c r="D1361" s="8"/>
    </row>
    <row r="1362">
      <c r="D1362" s="8"/>
    </row>
    <row r="1363">
      <c r="D1363" s="8"/>
    </row>
    <row r="1364">
      <c r="D1364" s="8"/>
    </row>
    <row r="1365">
      <c r="D1365" s="8"/>
    </row>
    <row r="1366">
      <c r="D1366" s="8"/>
    </row>
    <row r="1367">
      <c r="D1367" s="8"/>
    </row>
    <row r="1368">
      <c r="D1368" s="8"/>
    </row>
    <row r="1369">
      <c r="D1369" s="8"/>
    </row>
    <row r="1370">
      <c r="D1370" s="8"/>
    </row>
    <row r="1371">
      <c r="D1371" s="8"/>
    </row>
    <row r="1372">
      <c r="D1372" s="8"/>
    </row>
    <row r="1373">
      <c r="D1373" s="8"/>
    </row>
    <row r="1374">
      <c r="D1374" s="8"/>
    </row>
    <row r="1375">
      <c r="D1375" s="8"/>
    </row>
    <row r="1376">
      <c r="D1376" s="8"/>
    </row>
    <row r="1377">
      <c r="D1377" s="8"/>
    </row>
    <row r="1378">
      <c r="D1378" s="8"/>
    </row>
    <row r="1379">
      <c r="D1379" s="8"/>
    </row>
    <row r="1380">
      <c r="D1380" s="8"/>
    </row>
    <row r="1381">
      <c r="D1381" s="8"/>
    </row>
    <row r="1382">
      <c r="D1382" s="8"/>
    </row>
    <row r="1383">
      <c r="D1383" s="8"/>
    </row>
    <row r="1384">
      <c r="D1384" s="8"/>
    </row>
    <row r="1385">
      <c r="D1385" s="8"/>
    </row>
    <row r="1386">
      <c r="D1386" s="8"/>
    </row>
    <row r="1387">
      <c r="D1387" s="8"/>
    </row>
    <row r="1388">
      <c r="D1388" s="8"/>
    </row>
    <row r="1389">
      <c r="D1389" s="8"/>
    </row>
    <row r="1390">
      <c r="D1390" s="8"/>
    </row>
    <row r="1391">
      <c r="D1391" s="8"/>
    </row>
    <row r="1392">
      <c r="D1392" s="8"/>
    </row>
    <row r="1393">
      <c r="D1393" s="8"/>
    </row>
    <row r="1394">
      <c r="D1394" s="8"/>
    </row>
    <row r="1395">
      <c r="D1395" s="8"/>
    </row>
    <row r="1396">
      <c r="D1396" s="8"/>
    </row>
    <row r="1397">
      <c r="D1397" s="8"/>
    </row>
    <row r="1398">
      <c r="D1398" s="8"/>
    </row>
    <row r="1399">
      <c r="D1399" s="8"/>
    </row>
    <row r="1400">
      <c r="D1400" s="8"/>
    </row>
    <row r="1401">
      <c r="D1401" s="8"/>
    </row>
    <row r="1402">
      <c r="D1402" s="8"/>
    </row>
    <row r="1403">
      <c r="D1403" s="8"/>
    </row>
    <row r="1404">
      <c r="D1404" s="8"/>
    </row>
    <row r="1405">
      <c r="D1405" s="8"/>
    </row>
    <row r="1406">
      <c r="D1406" s="8"/>
    </row>
    <row r="1407">
      <c r="D1407" s="8"/>
    </row>
    <row r="1408">
      <c r="D1408" s="8"/>
    </row>
    <row r="1409">
      <c r="D1409" s="8"/>
    </row>
    <row r="1410">
      <c r="D1410" s="8"/>
    </row>
    <row r="1411">
      <c r="D1411" s="8"/>
    </row>
    <row r="1412">
      <c r="D1412" s="8"/>
    </row>
    <row r="1413">
      <c r="D1413" s="8"/>
    </row>
    <row r="1414">
      <c r="D1414" s="8"/>
    </row>
    <row r="1415">
      <c r="D1415" s="8"/>
    </row>
    <row r="1416">
      <c r="D1416" s="8"/>
    </row>
    <row r="1417">
      <c r="D1417" s="8"/>
    </row>
    <row r="1418">
      <c r="D1418" s="8"/>
    </row>
    <row r="1419">
      <c r="D1419" s="8"/>
    </row>
    <row r="1420">
      <c r="D1420" s="8"/>
    </row>
    <row r="1421">
      <c r="D1421" s="8"/>
    </row>
    <row r="1422">
      <c r="D1422" s="8"/>
    </row>
    <row r="1423">
      <c r="D1423" s="8"/>
    </row>
    <row r="1424">
      <c r="D1424" s="8"/>
    </row>
    <row r="1425">
      <c r="D1425" s="8"/>
    </row>
    <row r="1426">
      <c r="D1426" s="8"/>
    </row>
    <row r="1427">
      <c r="D1427" s="8"/>
    </row>
    <row r="1428">
      <c r="D1428" s="8"/>
    </row>
    <row r="1429">
      <c r="D1429" s="8"/>
    </row>
    <row r="1430">
      <c r="D1430" s="8"/>
    </row>
    <row r="1431">
      <c r="D1431" s="8"/>
    </row>
    <row r="1432">
      <c r="D1432" s="8"/>
    </row>
    <row r="1433">
      <c r="D1433" s="8"/>
    </row>
    <row r="1434">
      <c r="D1434" s="8"/>
    </row>
    <row r="1435">
      <c r="D1435" s="8"/>
    </row>
    <row r="1436">
      <c r="D1436" s="8"/>
    </row>
    <row r="1437">
      <c r="D1437" s="8"/>
    </row>
    <row r="1438">
      <c r="D1438" s="8"/>
    </row>
    <row r="1439">
      <c r="D1439" s="8"/>
    </row>
    <row r="1440">
      <c r="D1440" s="8"/>
    </row>
    <row r="1441">
      <c r="D1441" s="8"/>
    </row>
    <row r="1442">
      <c r="D1442" s="8"/>
    </row>
    <row r="1443">
      <c r="D1443" s="8"/>
    </row>
    <row r="1444">
      <c r="D1444" s="8"/>
    </row>
    <row r="1445">
      <c r="D1445" s="8"/>
    </row>
    <row r="1446">
      <c r="D1446" s="8"/>
    </row>
    <row r="1447">
      <c r="D1447" s="8"/>
    </row>
    <row r="1448">
      <c r="D1448" s="8"/>
    </row>
    <row r="1449">
      <c r="D1449" s="8"/>
    </row>
    <row r="1450">
      <c r="D1450" s="8"/>
    </row>
    <row r="1451">
      <c r="D1451" s="8"/>
    </row>
    <row r="1452">
      <c r="D1452" s="8"/>
    </row>
    <row r="1453">
      <c r="D1453" s="8"/>
    </row>
    <row r="1454">
      <c r="D1454" s="8"/>
    </row>
    <row r="1455">
      <c r="D1455" s="8"/>
    </row>
    <row r="1456">
      <c r="D1456" s="8"/>
    </row>
    <row r="1457">
      <c r="D1457" s="8"/>
    </row>
    <row r="1458">
      <c r="D1458" s="8"/>
    </row>
    <row r="1459">
      <c r="D1459" s="8"/>
    </row>
    <row r="1460">
      <c r="D1460" s="8"/>
    </row>
    <row r="1461">
      <c r="D1461" s="8"/>
    </row>
    <row r="1462">
      <c r="D1462" s="8"/>
    </row>
    <row r="1463">
      <c r="D1463" s="8"/>
    </row>
    <row r="1464">
      <c r="D1464" s="8"/>
    </row>
    <row r="1465">
      <c r="D1465" s="8"/>
    </row>
    <row r="1466">
      <c r="D1466" s="8"/>
    </row>
    <row r="1467">
      <c r="D1467" s="8"/>
    </row>
    <row r="1468">
      <c r="D1468" s="8"/>
    </row>
    <row r="1469">
      <c r="D1469" s="8"/>
    </row>
    <row r="1470">
      <c r="D1470" s="8"/>
    </row>
    <row r="1471">
      <c r="D1471" s="8"/>
    </row>
    <row r="1472">
      <c r="D1472" s="8"/>
    </row>
    <row r="1473">
      <c r="D1473" s="8"/>
    </row>
    <row r="1474">
      <c r="D1474" s="8"/>
    </row>
    <row r="1475">
      <c r="D1475" s="8"/>
    </row>
    <row r="1476">
      <c r="D1476" s="8"/>
    </row>
    <row r="1477">
      <c r="D1477" s="8"/>
    </row>
    <row r="1478">
      <c r="D1478" s="8"/>
    </row>
    <row r="1479">
      <c r="D1479" s="8"/>
    </row>
    <row r="1480">
      <c r="D1480" s="8"/>
    </row>
    <row r="1481">
      <c r="D1481" s="8"/>
    </row>
    <row r="1482">
      <c r="D1482" s="8"/>
    </row>
    <row r="1483">
      <c r="D1483" s="8"/>
    </row>
    <row r="1484">
      <c r="D1484" s="8"/>
    </row>
    <row r="1485">
      <c r="D1485" s="8"/>
    </row>
    <row r="1486">
      <c r="D1486" s="8"/>
    </row>
    <row r="1487">
      <c r="D1487" s="8"/>
    </row>
    <row r="1488">
      <c r="D1488" s="8"/>
    </row>
    <row r="1489">
      <c r="D1489" s="8"/>
    </row>
    <row r="1490">
      <c r="D1490" s="8"/>
    </row>
    <row r="1491">
      <c r="D1491" s="8"/>
    </row>
    <row r="1492">
      <c r="D1492" s="8"/>
    </row>
    <row r="1493">
      <c r="D1493" s="8"/>
    </row>
    <row r="1494">
      <c r="D1494" s="8"/>
    </row>
    <row r="1495">
      <c r="D1495" s="8"/>
    </row>
    <row r="1496">
      <c r="D1496" s="8"/>
    </row>
    <row r="1497">
      <c r="D1497" s="8"/>
    </row>
    <row r="1498">
      <c r="D1498" s="8"/>
    </row>
    <row r="1499">
      <c r="D1499" s="8"/>
    </row>
    <row r="1500">
      <c r="D1500" s="8"/>
    </row>
    <row r="1501">
      <c r="D1501" s="8"/>
    </row>
    <row r="1502">
      <c r="D1502" s="8"/>
    </row>
    <row r="1503">
      <c r="D1503" s="8"/>
    </row>
    <row r="1504">
      <c r="D1504" s="8"/>
    </row>
    <row r="1505">
      <c r="D1505" s="8"/>
    </row>
    <row r="1506">
      <c r="D1506" s="8"/>
    </row>
    <row r="1507">
      <c r="D1507" s="8"/>
    </row>
    <row r="1508">
      <c r="D1508" s="8"/>
    </row>
    <row r="1509">
      <c r="D1509" s="8"/>
    </row>
    <row r="1510">
      <c r="D1510" s="8"/>
    </row>
    <row r="1511">
      <c r="D1511" s="8"/>
    </row>
    <row r="1512">
      <c r="D1512" s="8"/>
    </row>
    <row r="1513">
      <c r="D1513" s="8"/>
    </row>
    <row r="1514">
      <c r="D1514" s="8"/>
    </row>
    <row r="1515">
      <c r="D1515" s="8"/>
    </row>
    <row r="1516">
      <c r="D1516" s="8"/>
    </row>
    <row r="1517">
      <c r="D1517" s="8"/>
    </row>
    <row r="1518">
      <c r="D1518" s="8"/>
    </row>
    <row r="1519">
      <c r="D1519" s="8"/>
    </row>
    <row r="1520">
      <c r="D1520" s="8"/>
    </row>
    <row r="1521">
      <c r="D1521" s="8"/>
    </row>
    <row r="1522">
      <c r="D1522" s="8"/>
    </row>
    <row r="1523">
      <c r="D1523" s="8"/>
    </row>
    <row r="1524">
      <c r="D1524" s="8"/>
    </row>
    <row r="1525">
      <c r="D1525" s="8"/>
    </row>
    <row r="1526">
      <c r="D1526" s="8"/>
    </row>
    <row r="1527">
      <c r="D1527" s="8"/>
    </row>
    <row r="1528">
      <c r="D1528" s="8"/>
    </row>
    <row r="1529">
      <c r="D1529" s="8"/>
    </row>
    <row r="1530">
      <c r="D1530" s="8"/>
    </row>
    <row r="1531">
      <c r="D1531" s="8"/>
    </row>
    <row r="1532">
      <c r="D1532" s="8"/>
    </row>
    <row r="1533">
      <c r="D1533" s="8"/>
    </row>
    <row r="1534">
      <c r="D1534" s="8"/>
    </row>
    <row r="1535">
      <c r="D1535" s="8"/>
    </row>
    <row r="1536">
      <c r="D1536" s="8"/>
    </row>
    <row r="1537">
      <c r="D1537" s="8"/>
    </row>
    <row r="1538">
      <c r="D1538" s="8"/>
    </row>
    <row r="1539">
      <c r="D1539" s="8"/>
    </row>
    <row r="1540">
      <c r="D1540" s="8"/>
    </row>
    <row r="1541">
      <c r="D1541" s="8"/>
    </row>
    <row r="1542">
      <c r="D1542" s="8"/>
    </row>
    <row r="1543">
      <c r="D1543" s="8"/>
    </row>
    <row r="1544">
      <c r="D1544" s="8"/>
    </row>
    <row r="1545">
      <c r="D1545" s="8"/>
    </row>
    <row r="1546">
      <c r="D1546" s="8"/>
    </row>
    <row r="1547">
      <c r="D1547" s="8"/>
    </row>
    <row r="1548">
      <c r="D1548" s="8"/>
    </row>
    <row r="1549">
      <c r="D1549" s="8"/>
    </row>
    <row r="1550">
      <c r="D1550" s="8"/>
    </row>
    <row r="1551">
      <c r="D1551" s="8"/>
    </row>
    <row r="1552">
      <c r="D1552" s="8"/>
    </row>
  </sheetData>
  <mergeCells count="3">
    <mergeCell ref="K4:O4"/>
    <mergeCell ref="Q4:U4"/>
    <mergeCell ref="D10:I10"/>
  </mergeCells>
  <conditionalFormatting sqref="K6:O37">
    <cfRule type="expression" dxfId="1" priority="1">
      <formula>$K6&lt;&gt;""</formula>
    </cfRule>
  </conditionalFormatting>
  <conditionalFormatting sqref="Q6:U32">
    <cfRule type="expression" dxfId="2" priority="2">
      <formula>$Q6&lt;&gt;""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7.25"/>
    <col customWidth="1" min="3" max="3" width="14.88"/>
    <col customWidth="1" min="4" max="4" width="15.0"/>
    <col customWidth="1" min="5" max="5" width="33.0"/>
  </cols>
  <sheetData>
    <row r="1">
      <c r="A1" s="3" t="s">
        <v>4</v>
      </c>
      <c r="B1" s="3" t="s">
        <v>14</v>
      </c>
      <c r="C1" s="3" t="s">
        <v>17</v>
      </c>
      <c r="D1" s="3" t="s">
        <v>18</v>
      </c>
      <c r="E1" s="3" t="s">
        <v>11</v>
      </c>
      <c r="F1" s="3" t="s">
        <v>19</v>
      </c>
      <c r="G1" s="6"/>
    </row>
    <row r="2">
      <c r="A2" s="3" t="s">
        <v>20</v>
      </c>
      <c r="B2" s="3" t="s">
        <v>21</v>
      </c>
      <c r="C2" s="6"/>
      <c r="D2" s="3" t="s">
        <v>22</v>
      </c>
      <c r="E2" s="3" t="s">
        <v>23</v>
      </c>
      <c r="F2" s="6"/>
      <c r="G2" s="3" t="s">
        <v>24</v>
      </c>
    </row>
    <row r="3">
      <c r="A3" s="3" t="s">
        <v>25</v>
      </c>
      <c r="B3" s="3" t="s">
        <v>26</v>
      </c>
      <c r="C3" s="10">
        <v>46294.0</v>
      </c>
      <c r="D3" s="3" t="s">
        <v>28</v>
      </c>
      <c r="E3" s="3" t="s">
        <v>29</v>
      </c>
      <c r="F3" s="3" t="s">
        <v>30</v>
      </c>
      <c r="G3" s="3" t="s">
        <v>24</v>
      </c>
    </row>
    <row r="4">
      <c r="A4" s="3" t="s">
        <v>31</v>
      </c>
      <c r="B4" s="3" t="s">
        <v>26</v>
      </c>
      <c r="C4" s="10">
        <v>46294.0</v>
      </c>
      <c r="D4" s="3" t="s">
        <v>32</v>
      </c>
      <c r="E4" s="3" t="s">
        <v>29</v>
      </c>
      <c r="F4" s="3" t="s">
        <v>33</v>
      </c>
      <c r="G4" s="3" t="s">
        <v>24</v>
      </c>
    </row>
    <row r="5">
      <c r="A5" s="3" t="s">
        <v>36</v>
      </c>
      <c r="B5" s="3" t="s">
        <v>37</v>
      </c>
      <c r="C5" s="10">
        <v>46307.0</v>
      </c>
      <c r="D5" s="3" t="s">
        <v>38</v>
      </c>
      <c r="E5" s="3" t="s">
        <v>39</v>
      </c>
      <c r="F5" s="3" t="s">
        <v>41</v>
      </c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</sheetData>
  <drawing r:id="rId1"/>
</worksheet>
</file>